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Zbook G6\Downloads\"/>
    </mc:Choice>
  </mc:AlternateContent>
  <xr:revisionPtr revIDLastSave="0" documentId="11_A0DEC3AC2078702BB650C5DECF890C15083A1C34" xr6:coauthVersionLast="47" xr6:coauthVersionMax="47" xr10:uidLastSave="{00000000-0000-0000-0000-000000000000}"/>
  <bookViews>
    <workbookView xWindow="-108" yWindow="-108" windowWidth="23256" windowHeight="12456" tabRatio="500" activeTab="10" xr2:uid="{00000000-000D-0000-FFFF-FFFF00000000}"/>
  </bookViews>
  <sheets>
    <sheet name="KPI Summary" sheetId="1" r:id="rId1"/>
    <sheet name="Seasonal &amp; Ramadan" sheetId="2" r:id="rId2"/>
    <sheet name="Time of Day" sheetId="3" r:id="rId3"/>
    <sheet name="Station Performance" sheetId="4" r:id="rId4"/>
    <sheet name="Weather Impact" sheetId="5" r:id="rId5"/>
    <sheet name="Raw_MonthlyKPIs" sheetId="6" r:id="rId6"/>
    <sheet name="Raw_StationTotals" sheetId="7" r:id="rId7"/>
    <sheet name="Raw_DelaySummary" sheetId="8" r:id="rId8"/>
    <sheet name="Raw_ODPairsTop" sheetId="9" r:id="rId9"/>
    <sheet name="Raw_SegmentByDayType" sheetId="10" r:id="rId10"/>
    <sheet name="Raw_WeatherImpact" sheetId="11" r:id="rId1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81" i="7" l="1"/>
  <c r="L80" i="7"/>
  <c r="L79" i="7"/>
  <c r="L78" i="7"/>
  <c r="L77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62" i="7"/>
  <c r="L61" i="7"/>
  <c r="L60" i="7"/>
  <c r="L59" i="7"/>
  <c r="L58" i="7"/>
  <c r="L57" i="7"/>
  <c r="L56" i="7"/>
  <c r="L55" i="7"/>
  <c r="L54" i="7"/>
  <c r="L53" i="7"/>
  <c r="L52" i="7"/>
  <c r="L51" i="7"/>
  <c r="L50" i="7"/>
  <c r="L49" i="7"/>
  <c r="L48" i="7"/>
  <c r="L47" i="7"/>
  <c r="L46" i="7"/>
  <c r="L45" i="7"/>
  <c r="L44" i="7"/>
  <c r="L43" i="7"/>
  <c r="L42" i="7"/>
  <c r="L41" i="7"/>
  <c r="L40" i="7"/>
  <c r="L39" i="7"/>
  <c r="L38" i="7"/>
  <c r="L37" i="7"/>
  <c r="L36" i="7"/>
  <c r="L35" i="7"/>
  <c r="L34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L6" i="7"/>
  <c r="L5" i="7"/>
  <c r="L4" i="7"/>
  <c r="L3" i="7"/>
  <c r="L2" i="7"/>
  <c r="F17" i="2"/>
  <c r="D17" i="2"/>
  <c r="C17" i="2"/>
  <c r="B17" i="2"/>
  <c r="B16" i="2"/>
  <c r="F15" i="2"/>
  <c r="B15" i="2"/>
  <c r="F14" i="2"/>
  <c r="B14" i="2"/>
  <c r="D13" i="2"/>
  <c r="B13" i="2"/>
  <c r="E12" i="2"/>
  <c r="D12" i="2"/>
  <c r="B12" i="2"/>
  <c r="C11" i="2"/>
  <c r="B11" i="2"/>
  <c r="C10" i="2"/>
  <c r="B10" i="2"/>
  <c r="B9" i="2"/>
  <c r="F8" i="2"/>
  <c r="E8" i="2"/>
  <c r="C8" i="2"/>
  <c r="B8" i="2"/>
  <c r="F7" i="2"/>
  <c r="B7" i="2"/>
  <c r="F6" i="2"/>
  <c r="C6" i="2"/>
  <c r="B6" i="2"/>
  <c r="G23" i="1"/>
  <c r="I22" i="1"/>
  <c r="E17" i="2" s="1"/>
  <c r="H22" i="1"/>
  <c r="G22" i="1"/>
  <c r="F22" i="1"/>
  <c r="E22" i="1"/>
  <c r="J22" i="1" s="1"/>
  <c r="D22" i="1"/>
  <c r="C22" i="1"/>
  <c r="I21" i="1"/>
  <c r="E16" i="2" s="1"/>
  <c r="H21" i="1"/>
  <c r="G21" i="1"/>
  <c r="F16" i="2" s="1"/>
  <c r="F21" i="1"/>
  <c r="E21" i="1"/>
  <c r="K21" i="1" s="1"/>
  <c r="D21" i="1"/>
  <c r="C16" i="2" s="1"/>
  <c r="C21" i="1"/>
  <c r="J20" i="1"/>
  <c r="I20" i="1"/>
  <c r="E15" i="2" s="1"/>
  <c r="H20" i="1"/>
  <c r="G20" i="1"/>
  <c r="F20" i="1"/>
  <c r="E20" i="1"/>
  <c r="D15" i="2" s="1"/>
  <c r="D20" i="1"/>
  <c r="C15" i="2" s="1"/>
  <c r="C20" i="1"/>
  <c r="K19" i="1"/>
  <c r="I19" i="1"/>
  <c r="E14" i="2" s="1"/>
  <c r="H19" i="1"/>
  <c r="G19" i="1"/>
  <c r="F19" i="1"/>
  <c r="E19" i="1"/>
  <c r="D14" i="2" s="1"/>
  <c r="D19" i="1"/>
  <c r="C14" i="2" s="1"/>
  <c r="C19" i="1"/>
  <c r="I18" i="1"/>
  <c r="E13" i="2" s="1"/>
  <c r="H18" i="1"/>
  <c r="G18" i="1"/>
  <c r="F13" i="2" s="1"/>
  <c r="F18" i="1"/>
  <c r="E18" i="1"/>
  <c r="J18" i="1" s="1"/>
  <c r="D18" i="1"/>
  <c r="C13" i="2" s="1"/>
  <c r="C18" i="1"/>
  <c r="I17" i="1"/>
  <c r="H17" i="1"/>
  <c r="G17" i="1"/>
  <c r="F12" i="2" s="1"/>
  <c r="F17" i="1"/>
  <c r="E17" i="1"/>
  <c r="K17" i="1" s="1"/>
  <c r="D17" i="1"/>
  <c r="C12" i="2" s="1"/>
  <c r="C17" i="1"/>
  <c r="J16" i="1"/>
  <c r="I16" i="1"/>
  <c r="E11" i="2" s="1"/>
  <c r="H16" i="1"/>
  <c r="G16" i="1"/>
  <c r="F11" i="2" s="1"/>
  <c r="F16" i="1"/>
  <c r="E16" i="1"/>
  <c r="D11" i="2" s="1"/>
  <c r="D16" i="1"/>
  <c r="C16" i="1"/>
  <c r="K15" i="1"/>
  <c r="I15" i="1"/>
  <c r="E10" i="2" s="1"/>
  <c r="H15" i="1"/>
  <c r="G15" i="1"/>
  <c r="F10" i="2" s="1"/>
  <c r="F15" i="1"/>
  <c r="F23" i="1" s="1"/>
  <c r="E15" i="1"/>
  <c r="J15" i="1" s="1"/>
  <c r="D15" i="1"/>
  <c r="C15" i="1"/>
  <c r="I14" i="1"/>
  <c r="E9" i="2" s="1"/>
  <c r="H14" i="1"/>
  <c r="G14" i="1"/>
  <c r="F9" i="2" s="1"/>
  <c r="F14" i="1"/>
  <c r="E14" i="1"/>
  <c r="D9" i="2" s="1"/>
  <c r="D14" i="1"/>
  <c r="C9" i="2" s="1"/>
  <c r="C14" i="1"/>
  <c r="I13" i="1"/>
  <c r="H13" i="1"/>
  <c r="G13" i="1"/>
  <c r="F13" i="1"/>
  <c r="E13" i="1"/>
  <c r="K13" i="1" s="1"/>
  <c r="D13" i="1"/>
  <c r="C13" i="1"/>
  <c r="J12" i="1"/>
  <c r="I12" i="1"/>
  <c r="E7" i="2" s="1"/>
  <c r="H12" i="1"/>
  <c r="G12" i="1"/>
  <c r="F12" i="1"/>
  <c r="E12" i="1"/>
  <c r="D7" i="2" s="1"/>
  <c r="D12" i="1"/>
  <c r="C7" i="2" s="1"/>
  <c r="C12" i="1"/>
  <c r="I11" i="1"/>
  <c r="E6" i="2" s="1"/>
  <c r="H11" i="1"/>
  <c r="H23" i="1" s="1"/>
  <c r="G11" i="1"/>
  <c r="F11" i="1"/>
  <c r="E11" i="1"/>
  <c r="E23" i="1" s="1"/>
  <c r="D11" i="1"/>
  <c r="D23" i="1" s="1"/>
  <c r="C11" i="1"/>
  <c r="C23" i="1" s="1"/>
  <c r="J6" i="1"/>
  <c r="H6" i="1"/>
  <c r="F6" i="1"/>
  <c r="D6" i="1"/>
  <c r="B6" i="1"/>
  <c r="K12" i="1" l="1"/>
  <c r="K16" i="1"/>
  <c r="K20" i="1"/>
  <c r="D10" i="2"/>
  <c r="I23" i="1"/>
  <c r="J19" i="1"/>
  <c r="D8" i="2"/>
  <c r="D6" i="2"/>
  <c r="J14" i="1"/>
  <c r="D16" i="2"/>
  <c r="K14" i="1"/>
  <c r="J11" i="1"/>
  <c r="K22" i="1"/>
  <c r="J13" i="1"/>
  <c r="J17" i="1"/>
  <c r="J21" i="1"/>
  <c r="K18" i="1"/>
</calcChain>
</file>

<file path=xl/sharedStrings.xml><?xml version="1.0" encoding="utf-8"?>
<sst xmlns="http://schemas.openxmlformats.org/spreadsheetml/2006/main" count="1075" uniqueCount="238">
  <si>
    <t>BookMetro — Cairo Metro KPI Summary</t>
  </si>
  <si>
    <t>Recomputed from fact_od_trips.csv + dim_time.csv + fact_service_events.csv  |  Period: Jan–Dec 2024  |  See "Data Notes" tab for data-quality caveats</t>
  </si>
  <si>
    <t>Total Passengers</t>
  </si>
  <si>
    <t>Total Revenue (EGP)</t>
  </si>
  <si>
    <t>Total Trips</t>
  </si>
  <si>
    <t>Avg Ticket Price (EGP)</t>
  </si>
  <si>
    <t>Avg Passengers / Trip</t>
  </si>
  <si>
    <t>Monthly KPI Breakdown</t>
  </si>
  <si>
    <t>Month</t>
  </si>
  <si>
    <t>Avg Ticket Price</t>
  </si>
  <si>
    <t>Avg Passengers/Trip</t>
  </si>
  <si>
    <t>Service Events</t>
  </si>
  <si>
    <t>Delay Minutes</t>
  </si>
  <si>
    <t>Revenue / Passenger</t>
  </si>
  <si>
    <t>MoM Revenue Growth</t>
  </si>
  <si>
    <t>Jan</t>
  </si>
  <si>
    <t>—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</si>
  <si>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</si>
  <si>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</si>
  <si>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</si>
  <si>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</si>
  <si>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</si>
  <si>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</si>
  <si>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</si>
  <si>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</si>
  <si>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</si>
  <si>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</si>
  <si>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</si>
  <si>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/ Avg</t>
  </si>
  <si>
    <t>Top 10 Stations by Total Passengers (2024)</t>
  </si>
  <si>
    <t>Top 5 Stations by Total Delay Minutes</t>
  </si>
  <si>
    <t>Rank</t>
  </si>
  <si>
    <t>Station</t>
  </si>
  <si>
    <t>Line</t>
  </si>
  <si>
    <t># Delays</t>
  </si>
  <si>
    <t>Total Delay (min)</t>
  </si>
  <si>
    <t>Top Reason</t>
  </si>
  <si>
    <t>Abbassia</t>
  </si>
  <si>
    <t>Line3</t>
  </si>
  <si>
    <t>Saad Zaghloul</t>
  </si>
  <si>
    <t>Line1</t>
  </si>
  <si>
    <t>Mechanical Failure</t>
  </si>
  <si>
    <t>Dokki</t>
  </si>
  <si>
    <t>Line2</t>
  </si>
  <si>
    <t>Cairo University</t>
  </si>
  <si>
    <t>Signal Failure</t>
  </si>
  <si>
    <t>El Mounib</t>
  </si>
  <si>
    <t>Ain Shams</t>
  </si>
  <si>
    <t>Power Issue</t>
  </si>
  <si>
    <t>Kit Kat</t>
  </si>
  <si>
    <t>Maspero</t>
  </si>
  <si>
    <t>Weather Related</t>
  </si>
  <si>
    <t>Bab El Shaaria</t>
  </si>
  <si>
    <t>Heliopolis Square</t>
  </si>
  <si>
    <t>Imbaba</t>
  </si>
  <si>
    <t>Road El Farag</t>
  </si>
  <si>
    <t>Helwan University</t>
  </si>
  <si>
    <t>Seasonal, Monthly &amp; Ramadan/Holiday Analysis</t>
  </si>
  <si>
    <t>Ramadan / holiday / school-holiday flags from dim_time.csv (hourly grain), joined via time_id — not estimated</t>
  </si>
  <si>
    <t>Period Type</t>
  </si>
  <si>
    <t>Days</t>
  </si>
  <si>
    <t>Avg Passengers/Day</t>
  </si>
  <si>
    <t>Avg Revenue/Day (EGP)</t>
  </si>
  <si>
    <t>Regular Day</t>
  </si>
  <si>
    <t>Ramadan</t>
  </si>
  <si>
    <t>Public Holiday</t>
  </si>
  <si>
    <t>School Holiday</t>
  </si>
  <si>
    <t>Note: Ramadan 2024 ran Mar 11 – Apr 9 (30 days). Daily passenger volumes during Ramadan are very close to regular days in this dataset — no significant dip or spike detected at the daily-average level.</t>
  </si>
  <si>
    <t>Time of Day &amp; Peak Hour Analysis</t>
  </si>
  <si>
    <t>Hourly passenger volumes recomputed from fact_od_trips.csv, joined to dim_time.csv</t>
  </si>
  <si>
    <t>Hour</t>
  </si>
  <si>
    <t>Period of Day</t>
  </si>
  <si>
    <t>Offpeak</t>
  </si>
  <si>
    <t>Morning Peak</t>
  </si>
  <si>
    <t>Midday</t>
  </si>
  <si>
    <t>Evening Peak</t>
  </si>
  <si>
    <t>Station Performance &amp; Service Reliability</t>
  </si>
  <si>
    <t>Passenger volumes from fact_od_trips.csv; delays from fact_service_events.csv</t>
  </si>
  <si>
    <t>Top 15 Busiest Stations (Total Passengers, 2024)</t>
  </si>
  <si>
    <t>Popularity</t>
  </si>
  <si>
    <t>Very High</t>
  </si>
  <si>
    <t>Sadat</t>
  </si>
  <si>
    <t>Transfer_Line1/Line2</t>
  </si>
  <si>
    <t>Extreme</t>
  </si>
  <si>
    <t>Adly Mansour</t>
  </si>
  <si>
    <t>El Malek El Saleh</t>
  </si>
  <si>
    <t>Top 10 Stations by Delay Minutes (fact_service_events.csv)</t>
  </si>
  <si>
    <t>Avg Delay (min)</t>
  </si>
  <si>
    <t>Sayeda Zeinab</t>
  </si>
  <si>
    <t>Al Shohadaa</t>
  </si>
  <si>
    <t>Track Maintenance</t>
  </si>
  <si>
    <t>Weather Impact on Ridership &amp; Revenue</t>
  </si>
  <si>
    <t>Recomputed from fact_od_trips.csv joined to dim_weather.csv via time_id</t>
  </si>
  <si>
    <t>Weather</t>
  </si>
  <si>
    <t>Avg Daily Revenue (EGP)</t>
  </si>
  <si>
    <t>Avg Temp (°C)</t>
  </si>
  <si>
    <t>Very Hot</t>
  </si>
  <si>
    <t>Clear</t>
  </si>
  <si>
    <t>Extremely Hot</t>
  </si>
  <si>
    <t>Partly Cloudy</t>
  </si>
  <si>
    <t>Cool</t>
  </si>
  <si>
    <t>Pleasant</t>
  </si>
  <si>
    <t>Mild</t>
  </si>
  <si>
    <t>Dusty</t>
  </si>
  <si>
    <t>Heat Wave</t>
  </si>
  <si>
    <t>Perfect</t>
  </si>
  <si>
    <t>Sunny</t>
  </si>
  <si>
    <t>Cold</t>
  </si>
  <si>
    <t>Chilly</t>
  </si>
  <si>
    <t>month</t>
  </si>
  <si>
    <t>total_trips</t>
  </si>
  <si>
    <t>total_passengers</t>
  </si>
  <si>
    <t>total_revenue_egp</t>
  </si>
  <si>
    <t>avg_ticket_price</t>
  </si>
  <si>
    <t>avg_passengers_per_trip</t>
  </si>
  <si>
    <t>total_service_events</t>
  </si>
  <si>
    <t>total_delay_minutes</t>
  </si>
  <si>
    <t>station_id</t>
  </si>
  <si>
    <t>dep_passengers</t>
  </si>
  <si>
    <t>dep_trips</t>
  </si>
  <si>
    <t>arr_passengers</t>
  </si>
  <si>
    <t>arr_trips</t>
  </si>
  <si>
    <t>station_name</t>
  </si>
  <si>
    <t>line_id</t>
  </si>
  <si>
    <t>latitude</t>
  </si>
  <si>
    <t>longitude</t>
  </si>
  <si>
    <t>is_transfer</t>
  </si>
  <si>
    <t>popularity_level</t>
  </si>
  <si>
    <t>very_high</t>
  </si>
  <si>
    <t>extreme</t>
  </si>
  <si>
    <t>Opera</t>
  </si>
  <si>
    <t>Nasser</t>
  </si>
  <si>
    <t>Transfer_Line1/Line3</t>
  </si>
  <si>
    <t>Shubra El Kheima</t>
  </si>
  <si>
    <t>Giza</t>
  </si>
  <si>
    <t>Stadium</t>
  </si>
  <si>
    <t>Faisal</t>
  </si>
  <si>
    <t>Attaba</t>
  </si>
  <si>
    <t>Transfer_Line2/Line3</t>
  </si>
  <si>
    <t>El Maadi</t>
  </si>
  <si>
    <t>El Demerdash</t>
  </si>
  <si>
    <t>Ghamra</t>
  </si>
  <si>
    <t>El Nozha</t>
  </si>
  <si>
    <t>Saray El Qobba</t>
  </si>
  <si>
    <t>medium</t>
  </si>
  <si>
    <t>Omar Ibn El Khattab</t>
  </si>
  <si>
    <t>high</t>
  </si>
  <si>
    <t>El Bohy</t>
  </si>
  <si>
    <t>Kozzika</t>
  </si>
  <si>
    <t>low</t>
  </si>
  <si>
    <t>Fair Zone</t>
  </si>
  <si>
    <t>Omm El Masryeen</t>
  </si>
  <si>
    <t>El Bohoos</t>
  </si>
  <si>
    <t>Orabi</t>
  </si>
  <si>
    <t>Ring Road</t>
  </si>
  <si>
    <t>Hammamat El Qobba</t>
  </si>
  <si>
    <t>Sudan</t>
  </si>
  <si>
    <t>Wadi Hof</t>
  </si>
  <si>
    <t>New El Marg</t>
  </si>
  <si>
    <t>Helmeyet El Zaitoun</t>
  </si>
  <si>
    <t>Dar El Salam</t>
  </si>
  <si>
    <t>St. Teresa</t>
  </si>
  <si>
    <t>El Qawmia</t>
  </si>
  <si>
    <t>Sakanat El Maadi</t>
  </si>
  <si>
    <t>Kobri El Qobba</t>
  </si>
  <si>
    <t>Ain Helwan</t>
  </si>
  <si>
    <t>Mohamed Naguib</t>
  </si>
  <si>
    <t>Masarra</t>
  </si>
  <si>
    <t>Sakiat Mekky</t>
  </si>
  <si>
    <t>Mezallat</t>
  </si>
  <si>
    <t>Safaa Hegazy</t>
  </si>
  <si>
    <t>Koleyet El Banat</t>
  </si>
  <si>
    <t>Abdou Pasha</t>
  </si>
  <si>
    <t>Tura El Asmant</t>
  </si>
  <si>
    <t>El Haykestep</t>
  </si>
  <si>
    <t>El Marg</t>
  </si>
  <si>
    <t>Rod El Farag Corridor</t>
  </si>
  <si>
    <t>Al Ahram</t>
  </si>
  <si>
    <t>Helwan</t>
  </si>
  <si>
    <t>Hesham Barakat</t>
  </si>
  <si>
    <t>El Zahra</t>
  </si>
  <si>
    <t>Ezbet El Nakhl</t>
  </si>
  <si>
    <t>Tura El Balad</t>
  </si>
  <si>
    <t>Khalafawy</t>
  </si>
  <si>
    <t>Nadi El Shams</t>
  </si>
  <si>
    <t>Hadayek El Maadi</t>
  </si>
  <si>
    <t>Hadayek El Zaitoun</t>
  </si>
  <si>
    <t>Koliet El Zeraa</t>
  </si>
  <si>
    <t>El Maasara</t>
  </si>
  <si>
    <t>El Geish</t>
  </si>
  <si>
    <t>Manshiet El Sadr</t>
  </si>
  <si>
    <t>Mar Girgis</t>
  </si>
  <si>
    <t>Hadayek Helwan</t>
  </si>
  <si>
    <t>Alf Maskan</t>
  </si>
  <si>
    <t>Haroun</t>
  </si>
  <si>
    <t>El Matareyya</t>
  </si>
  <si>
    <t>Qobaa</t>
  </si>
  <si>
    <t>number_of_delays</t>
  </si>
  <si>
    <t>total_delay_duration_min</t>
  </si>
  <si>
    <t>avg_delay_duration_min</t>
  </si>
  <si>
    <t>most_common_reason</t>
  </si>
  <si>
    <t>most_common_event_type</t>
  </si>
  <si>
    <t>mechanical_failure</t>
  </si>
  <si>
    <t>Overcrowding</t>
  </si>
  <si>
    <t>signal_failure</t>
  </si>
  <si>
    <t>Maintenance</t>
  </si>
  <si>
    <t>power_issue</t>
  </si>
  <si>
    <t>Train Breakdown</t>
  </si>
  <si>
    <t>weather_related</t>
  </si>
  <si>
    <t>Technical Failure</t>
  </si>
  <si>
    <t>Power Outage</t>
  </si>
  <si>
    <t>track_maintenance</t>
  </si>
  <si>
    <t>Track Issue</t>
  </si>
  <si>
    <t>Signal Problem</t>
  </si>
  <si>
    <t>overcrowding</t>
  </si>
  <si>
    <t>scheduled_maintenance</t>
  </si>
  <si>
    <t>technical_fault</t>
  </si>
  <si>
    <t>Delay</t>
  </si>
  <si>
    <t>origin_station_id</t>
  </si>
  <si>
    <t>destination_station_id</t>
  </si>
  <si>
    <t>origin_name</t>
  </si>
  <si>
    <t>origin_line</t>
  </si>
  <si>
    <t>destination_name</t>
  </si>
  <si>
    <t>destination_line</t>
  </si>
  <si>
    <t>day_type</t>
  </si>
  <si>
    <t>n_days</t>
  </si>
  <si>
    <t>avg_passengers_per_day</t>
  </si>
  <si>
    <t>avg_revenue_per_day</t>
  </si>
  <si>
    <t>avg_trips_per_day</t>
  </si>
  <si>
    <t>label</t>
  </si>
  <si>
    <t>holiday</t>
  </si>
  <si>
    <t>ramadan</t>
  </si>
  <si>
    <t>regular</t>
  </si>
  <si>
    <t>school_holiday</t>
  </si>
  <si>
    <t>weather_desc</t>
  </si>
  <si>
    <t>avg_temp_celsius</t>
  </si>
  <si>
    <t>avg_daily_revenue</t>
  </si>
  <si>
    <t>avg_passenger_count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</si>
</sst>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0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10"/>
      <color rgb="FF595959"/>
      <name val="Arial"/>
      <charset val="1"/>
    </font>
    <font>
      <b/>
      <sz val="9"/>
      <color rgb="FF595959"/>
      <name val="Arial"/>
      <charset val="1"/>
    </font>
    <font>
      <b/>
      <sz val="18"/>
      <color rgb="FF2E74B5"/>
      <name val="Arial"/>
      <charset val="1"/>
    </font>
    <font>
      <b/>
      <sz val="12"/>
      <color rgb="FF1F3864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i/>
      <sz val="9"/>
      <color rgb="FF595959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EDEDED"/>
      </patternFill>
    </fill>
    <fill>
      <patternFill patternType="solid">
        <fgColor rgb="FFD9E2F3"/>
        <bgColor rgb="FFD9D9D9"/>
      </patternFill>
    </fill>
    <fill>
      <patternFill patternType="solid">
        <fgColor rgb="FF1F3864"/>
        <bgColor rgb="FF333399"/>
      </patternFill>
    </fill>
    <fill>
      <patternFill patternType="solid">
        <fgColor rgb="FFEDEDED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9" fillId="0" borderId="0" xfId="0" applyFont="1" applyAlignment="1">
      <alignment horizontal="left" vertical="top" wrapText="1"/>
    </xf>
    <xf numFmtId="0" fontId="5" fillId="3" borderId="0" xfId="0" applyFont="1" applyFill="1"/>
    <xf numFmtId="2" fontId="4" fillId="2" borderId="1" xfId="0" applyNumberFormat="1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6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8" fillId="5" borderId="1" xfId="0" applyFont="1" applyFill="1" applyBorder="1"/>
    <xf numFmtId="3" fontId="8" fillId="5" borderId="1" xfId="0" applyNumberFormat="1" applyFont="1" applyFill="1" applyBorder="1"/>
    <xf numFmtId="2" fontId="8" fillId="5" borderId="1" xfId="0" applyNumberFormat="1" applyFont="1" applyFill="1" applyBorder="1"/>
    <xf numFmtId="0" fontId="7" fillId="0" borderId="1" xfId="0" applyFont="1" applyBorder="1"/>
    <xf numFmtId="3" fontId="7" fillId="0" borderId="1" xfId="0" applyNumberFormat="1" applyFont="1" applyBorder="1"/>
    <xf numFmtId="165" fontId="7" fillId="0" borderId="1" xfId="0" applyNumberFormat="1" applyFont="1" applyBorder="1"/>
    <xf numFmtId="165" fontId="7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9F9F9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D9E2F3"/>
      <rgbColor rgb="FFFFFF99"/>
      <rgbColor rgb="FF99CCFF"/>
      <rgbColor rgb="FFFF99CC"/>
      <rgbColor rgb="FFCC99FF"/>
      <rgbColor rgb="FFFFCC99"/>
      <rgbColor rgb="FF2E74B5"/>
      <rgbColor rgb="FF4BACC6"/>
      <rgbColor rgb="FF9BBB59"/>
      <rgbColor rgb="FFFFCC00"/>
      <rgbColor rgb="FFFF9900"/>
      <rgbColor rgb="FFFF6600"/>
      <rgbColor rgb="FF8064A2"/>
      <rgbColor rgb="FF969696"/>
      <rgbColor rgb="FF1F3864"/>
      <rgbColor rgb="FF4F81BD"/>
      <rgbColor rgb="FF003300"/>
      <rgbColor rgb="FF333300"/>
      <rgbColor rgb="FF993300"/>
      <rgbColor rgb="FFC0504D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Total Passengers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'Seasonal &amp; Ramadan'!$C$5</c:f>
              <c:strCache>
                <c:ptCount val="1"/>
                <c:pt idx="0">
                  <c:v>Total Passengers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'Seasonal &amp; Ramadan'!$B$6:$B$17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'Seasonal &amp; Ramadan'!$C$6:$C$17</c:f>
              <c:numCache>
                <c:formatCode>#,##0</c:formatCode>
                <c:ptCount val="12"/>
                <c:pt idx="0">
                  <c:v>1793788</c:v>
                </c:pt>
                <c:pt idx="1">
                  <c:v>1874851</c:v>
                </c:pt>
                <c:pt idx="2">
                  <c:v>2018275</c:v>
                </c:pt>
                <c:pt idx="3">
                  <c:v>1809523</c:v>
                </c:pt>
                <c:pt idx="4">
                  <c:v>1960043</c:v>
                </c:pt>
                <c:pt idx="5">
                  <c:v>1527033</c:v>
                </c:pt>
                <c:pt idx="6">
                  <c:v>1682743</c:v>
                </c:pt>
                <c:pt idx="7">
                  <c:v>1749123</c:v>
                </c:pt>
                <c:pt idx="8">
                  <c:v>1829675</c:v>
                </c:pt>
                <c:pt idx="9">
                  <c:v>2103566</c:v>
                </c:pt>
                <c:pt idx="10">
                  <c:v>1953486</c:v>
                </c:pt>
                <c:pt idx="11">
                  <c:v>2076746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A2-4A76-8062-524279403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367401"/>
        <c:axId val="77516439"/>
      </c:barChart>
      <c:catAx>
        <c:axId val="803674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516439"/>
        <c:crosses val="autoZero"/>
        <c:auto val="1"/>
        <c:lblAlgn val="ctr"/>
        <c:lblOffset val="100"/>
        <c:noMultiLvlLbl val="0"/>
      </c:catAx>
      <c:valAx>
        <c:axId val="775164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Passengers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3674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Total Revenue by Month (EGP)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'Seasonal &amp; Ramadan'!$D$5</c:f>
              <c:strCache>
                <c:ptCount val="1"/>
                <c:pt idx="0">
                  <c:v>Total Revenue (EGP)</c:v>
                </c:pt>
              </c:strCache>
            </c:strRef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'Seasonal &amp; Ramadan'!$B$6:$B$17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'Seasonal &amp; Ramadan'!$D$6:$D$17</c:f>
              <c:numCache>
                <c:formatCode>#,##0</c:formatCode>
                <c:ptCount val="12"/>
                <c:pt idx="0">
                  <c:v>22190476</c:v>
                </c:pt>
                <c:pt idx="1">
                  <c:v>23177882</c:v>
                </c:pt>
                <c:pt idx="2">
                  <c:v>24949787</c:v>
                </c:pt>
                <c:pt idx="3">
                  <c:v>22414174</c:v>
                </c:pt>
                <c:pt idx="4">
                  <c:v>24274978</c:v>
                </c:pt>
                <c:pt idx="5">
                  <c:v>18909731</c:v>
                </c:pt>
                <c:pt idx="6">
                  <c:v>20827923</c:v>
                </c:pt>
                <c:pt idx="7">
                  <c:v>21649238</c:v>
                </c:pt>
                <c:pt idx="8">
                  <c:v>22674288</c:v>
                </c:pt>
                <c:pt idx="9">
                  <c:v>25985158</c:v>
                </c:pt>
                <c:pt idx="10">
                  <c:v>24168063</c:v>
                </c:pt>
                <c:pt idx="11">
                  <c:v>25671784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378-441D-B65B-1AF7F87CB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5377195"/>
        <c:axId val="11979144"/>
      </c:lineChart>
      <c:catAx>
        <c:axId val="3537719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979144"/>
        <c:crosses val="autoZero"/>
        <c:auto val="1"/>
        <c:lblAlgn val="ctr"/>
        <c:lblOffset val="100"/>
        <c:noMultiLvlLbl val="0"/>
      </c:catAx>
      <c:valAx>
        <c:axId val="119791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Revenue (EGP)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37719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Avg Passengers/Day by Period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'Seasonal &amp; Ramadan'!$J$5</c:f>
              <c:strCache>
                <c:ptCount val="1"/>
                <c:pt idx="0">
                  <c:v>Avg Passengers/Day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'Seasonal &amp; Ramadan'!$H$6:$H$9</c:f>
              <c:strCache>
                <c:ptCount val="4"/>
                <c:pt idx="0">
                  <c:v>Regular Day</c:v>
                </c:pt>
                <c:pt idx="1">
                  <c:v>Ramadan</c:v>
                </c:pt>
                <c:pt idx="2">
                  <c:v>Public Holiday</c:v>
                </c:pt>
                <c:pt idx="3">
                  <c:v>School Holiday</c:v>
                </c:pt>
              </c:strCache>
            </c:strRef>
          </c:cat>
          <c:val>
            <c:numRef>
              <c:f>'Seasonal &amp; Ramadan'!$J$6:$J$9</c:f>
              <c:numCache>
                <c:formatCode>#,##0</c:formatCode>
                <c:ptCount val="4"/>
                <c:pt idx="0">
                  <c:v>66829</c:v>
                </c:pt>
                <c:pt idx="1">
                  <c:v>66596</c:v>
                </c:pt>
                <c:pt idx="2">
                  <c:v>24432</c:v>
                </c:pt>
                <c:pt idx="3">
                  <c:v>56345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62-4E06-BB9B-57F06D396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917711"/>
        <c:axId val="37570644"/>
      </c:barChart>
      <c:catAx>
        <c:axId val="9291771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570644"/>
        <c:crosses val="autoZero"/>
        <c:auto val="1"/>
        <c:lblAlgn val="ctr"/>
        <c:lblOffset val="100"/>
        <c:noMultiLvlLbl val="0"/>
      </c:catAx>
      <c:valAx>
        <c:axId val="375706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Avg Passengers/Day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9177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Total Passengers by Hour of 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'Time of Day'!$D$5</c:f>
              <c:strCache>
                <c:ptCount val="1"/>
                <c:pt idx="0">
                  <c:v>Total Passengers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'Time of Day'!$B$6:$B$29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'Time of Day'!$D$6:$D$29</c:f>
              <c:numCache>
                <c:formatCode>#,##0</c:formatCode>
                <c:ptCount val="24"/>
                <c:pt idx="0">
                  <c:v>319136</c:v>
                </c:pt>
                <c:pt idx="1">
                  <c:v>319781</c:v>
                </c:pt>
                <c:pt idx="2">
                  <c:v>322109</c:v>
                </c:pt>
                <c:pt idx="3">
                  <c:v>326141</c:v>
                </c:pt>
                <c:pt idx="4">
                  <c:v>311929</c:v>
                </c:pt>
                <c:pt idx="5">
                  <c:v>321948</c:v>
                </c:pt>
                <c:pt idx="6">
                  <c:v>2122926</c:v>
                </c:pt>
                <c:pt idx="7">
                  <c:v>2142818</c:v>
                </c:pt>
                <c:pt idx="8">
                  <c:v>2125293</c:v>
                </c:pt>
                <c:pt idx="9">
                  <c:v>803965</c:v>
                </c:pt>
                <c:pt idx="10">
                  <c:v>790963</c:v>
                </c:pt>
                <c:pt idx="11">
                  <c:v>805447</c:v>
                </c:pt>
                <c:pt idx="12">
                  <c:v>804448</c:v>
                </c:pt>
                <c:pt idx="13">
                  <c:v>801597</c:v>
                </c:pt>
                <c:pt idx="14">
                  <c:v>792067</c:v>
                </c:pt>
                <c:pt idx="15">
                  <c:v>803044</c:v>
                </c:pt>
                <c:pt idx="16">
                  <c:v>810407</c:v>
                </c:pt>
                <c:pt idx="17">
                  <c:v>2122478</c:v>
                </c:pt>
                <c:pt idx="18">
                  <c:v>2116706</c:v>
                </c:pt>
                <c:pt idx="19">
                  <c:v>2141753</c:v>
                </c:pt>
                <c:pt idx="20">
                  <c:v>322230</c:v>
                </c:pt>
                <c:pt idx="21">
                  <c:v>315421</c:v>
                </c:pt>
                <c:pt idx="22">
                  <c:v>318362</c:v>
                </c:pt>
                <c:pt idx="23">
                  <c:v>317883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F0-4BE9-8EFE-8216C07AD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884"/>
        <c:axId val="71980942"/>
      </c:barChart>
      <c:catAx>
        <c:axId val="13988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Hour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980942"/>
        <c:crosses val="autoZero"/>
        <c:auto val="1"/>
        <c:lblAlgn val="ctr"/>
        <c:lblOffset val="100"/>
        <c:noMultiLvlLbl val="0"/>
      </c:catAx>
      <c:valAx>
        <c:axId val="719809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Passengers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98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Passenger Share by Period of 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'Time of Day'!$I$5</c:f>
              <c:strCache>
                <c:ptCount val="1"/>
                <c:pt idx="0">
                  <c:v>Total Passengers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A59E-4483-8195-EFE2C96FB449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A59E-4483-8195-EFE2C96FB449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A59E-4483-8195-EFE2C96FB449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A59E-4483-8195-EFE2C96FB449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A59E-4483-8195-EFE2C96FB449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A59E-4483-8195-EFE2C96FB449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A59E-4483-8195-EFE2C96FB449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A59E-4483-8195-EFE2C96FB4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'Time of Day'!$H$6:$H$9</c:f>
              <c:strCache>
                <c:ptCount val="4"/>
                <c:pt idx="0">
                  <c:v>Morning Peak</c:v>
                </c:pt>
                <c:pt idx="1">
                  <c:v>Midday</c:v>
                </c:pt>
                <c:pt idx="2">
                  <c:v>Evening Peak</c:v>
                </c:pt>
                <c:pt idx="3">
                  <c:v>Offpeak</c:v>
                </c:pt>
              </c:strCache>
            </c:strRef>
          </c:cat>
          <c:val>
            <c:numRef>
              <c:f>'Time of Day'!$I$6:$I$9</c:f>
              <c:numCache>
                <c:formatCode>#,##0</c:formatCode>
                <c:ptCount val="4"/>
                <c:pt idx="0">
                  <c:v>6391037</c:v>
                </c:pt>
                <c:pt idx="1">
                  <c:v>6411938</c:v>
                </c:pt>
                <c:pt idx="2">
                  <c:v>6380937</c:v>
                </c:pt>
                <c:pt idx="3">
                  <c:v>3194940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59E-4483-8195-EFE2C96FB4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Top 10 Stations by Delay Minutes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'Station Performance'!$E$24</c:f>
              <c:strCache>
                <c:ptCount val="1"/>
                <c:pt idx="0">
                  <c:v>Total Delay (min)</c:v>
                </c:pt>
              </c:strCache>
            </c:strRef>
          </c:tx>
          <c:spPr>
            <a:solidFill>
              <a:srgbClr val="8064A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'Station Performance'!$B$25:$B$34</c:f>
              <c:strCache>
                <c:ptCount val="10"/>
                <c:pt idx="0">
                  <c:v>Saad Zaghloul</c:v>
                </c:pt>
                <c:pt idx="1">
                  <c:v>Cairo University</c:v>
                </c:pt>
                <c:pt idx="2">
                  <c:v>Ain Shams</c:v>
                </c:pt>
                <c:pt idx="3">
                  <c:v>Maspero</c:v>
                </c:pt>
                <c:pt idx="4">
                  <c:v>Heliopolis Square</c:v>
                </c:pt>
                <c:pt idx="5">
                  <c:v>Sayeda Zeinab</c:v>
                </c:pt>
                <c:pt idx="6">
                  <c:v>Dokki</c:v>
                </c:pt>
                <c:pt idx="7">
                  <c:v>Al Shohadaa</c:v>
                </c:pt>
                <c:pt idx="8">
                  <c:v>Abbassia</c:v>
                </c:pt>
                <c:pt idx="9">
                  <c:v>Sadat</c:v>
                </c:pt>
              </c:strCache>
            </c:strRef>
          </c:cat>
          <c:val>
            <c:numRef>
              <c:f>'Station Performance'!$E$25:$E$34</c:f>
              <c:numCache>
                <c:formatCode>#,##0</c:formatCode>
                <c:ptCount val="10"/>
                <c:pt idx="0">
                  <c:v>2442</c:v>
                </c:pt>
                <c:pt idx="1">
                  <c:v>2372</c:v>
                </c:pt>
                <c:pt idx="2">
                  <c:v>2239</c:v>
                </c:pt>
                <c:pt idx="3">
                  <c:v>1884</c:v>
                </c:pt>
                <c:pt idx="4">
                  <c:v>1878</c:v>
                </c:pt>
                <c:pt idx="5">
                  <c:v>1836</c:v>
                </c:pt>
                <c:pt idx="6">
                  <c:v>1790</c:v>
                </c:pt>
                <c:pt idx="7">
                  <c:v>1634</c:v>
                </c:pt>
                <c:pt idx="8">
                  <c:v>1596</c:v>
                </c:pt>
                <c:pt idx="9">
                  <c:v>1551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D0-42A3-B5CB-79E934522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592689"/>
        <c:axId val="51492121"/>
      </c:barChart>
      <c:catAx>
        <c:axId val="5359268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492121"/>
        <c:crosses val="autoZero"/>
        <c:auto val="1"/>
        <c:lblAlgn val="ctr"/>
        <c:lblOffset val="100"/>
        <c:noMultiLvlLbl val="0"/>
      </c:catAx>
      <c:valAx>
        <c:axId val="514921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Delay 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5926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Avg Daily Revenue by Weather Condition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'Weather Impact'!$C$5</c:f>
              <c:strCache>
                <c:ptCount val="1"/>
                <c:pt idx="0">
                  <c:v>Avg Daily Revenue (EGP)</c:v>
                </c:pt>
              </c:strCache>
            </c:strRef>
          </c:tx>
          <c:spPr>
            <a:solidFill>
              <a:srgbClr val="4BACC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'Weather Impact'!$B$6:$B$18</c:f>
              <c:strCache>
                <c:ptCount val="13"/>
                <c:pt idx="0">
                  <c:v>Very Hot</c:v>
                </c:pt>
                <c:pt idx="1">
                  <c:v>Clear</c:v>
                </c:pt>
                <c:pt idx="2">
                  <c:v>Extremely Hot</c:v>
                </c:pt>
                <c:pt idx="3">
                  <c:v>Partly Cloudy</c:v>
                </c:pt>
                <c:pt idx="4">
                  <c:v>Cool</c:v>
                </c:pt>
                <c:pt idx="5">
                  <c:v>Pleasant</c:v>
                </c:pt>
                <c:pt idx="6">
                  <c:v>Mild</c:v>
                </c:pt>
                <c:pt idx="7">
                  <c:v>Dusty</c:v>
                </c:pt>
                <c:pt idx="8">
                  <c:v>Heat Wave</c:v>
                </c:pt>
                <c:pt idx="9">
                  <c:v>Perfect</c:v>
                </c:pt>
                <c:pt idx="10">
                  <c:v>Sunny</c:v>
                </c:pt>
                <c:pt idx="11">
                  <c:v>Cold</c:v>
                </c:pt>
                <c:pt idx="12">
                  <c:v>Chilly</c:v>
                </c:pt>
              </c:strCache>
            </c:strRef>
          </c:cat>
          <c:val>
            <c:numRef>
              <c:f>'Weather Impact'!$C$6:$C$18</c:f>
              <c:numCache>
                <c:formatCode>#,##0</c:formatCode>
                <c:ptCount val="13"/>
                <c:pt idx="0">
                  <c:v>239015</c:v>
                </c:pt>
                <c:pt idx="1">
                  <c:v>210091</c:v>
                </c:pt>
                <c:pt idx="2">
                  <c:v>140865</c:v>
                </c:pt>
                <c:pt idx="3">
                  <c:v>124363</c:v>
                </c:pt>
                <c:pt idx="4">
                  <c:v>124132</c:v>
                </c:pt>
                <c:pt idx="5">
                  <c:v>120060</c:v>
                </c:pt>
                <c:pt idx="6">
                  <c:v>114574</c:v>
                </c:pt>
                <c:pt idx="7">
                  <c:v>103154</c:v>
                </c:pt>
                <c:pt idx="8">
                  <c:v>91975</c:v>
                </c:pt>
                <c:pt idx="9">
                  <c:v>90301</c:v>
                </c:pt>
                <c:pt idx="10">
                  <c:v>85460</c:v>
                </c:pt>
                <c:pt idx="11">
                  <c:v>72161</c:v>
                </c:pt>
                <c:pt idx="12">
                  <c:v>55632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59-4526-B794-304B8B46D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864036"/>
        <c:axId val="93175138"/>
      </c:barChart>
      <c:catAx>
        <c:axId val="698640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3175138"/>
        <c:crosses val="autoZero"/>
        <c:auto val="1"/>
        <c:lblAlgn val="ctr"/>
        <c:lblOffset val="100"/>
        <c:noMultiLvlLbl val="0"/>
      </c:catAx>
      <c:valAx>
        <c:axId val="931751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Revenue (EGP)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8640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</xdr:row>
      <xdr:rowOff>130680</xdr:rowOff>
    </xdr:from>
    <xdr:to>
      <xdr:col>5</xdr:col>
      <xdr:colOff>1248480</xdr:colOff>
      <xdr:row>34</xdr:row>
      <xdr:rowOff>131760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34</xdr:row>
      <xdr:rowOff>131040</xdr:rowOff>
    </xdr:from>
    <xdr:to>
      <xdr:col>5</xdr:col>
      <xdr:colOff>1248480</xdr:colOff>
      <xdr:row>51</xdr:row>
      <xdr:rowOff>131760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17</xdr:row>
      <xdr:rowOff>130680</xdr:rowOff>
    </xdr:from>
    <xdr:to>
      <xdr:col>14</xdr:col>
      <xdr:colOff>70920</xdr:colOff>
      <xdr:row>34</xdr:row>
      <xdr:rowOff>131760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</xdr:row>
      <xdr:rowOff>131040</xdr:rowOff>
    </xdr:from>
    <xdr:to>
      <xdr:col>7</xdr:col>
      <xdr:colOff>981720</xdr:colOff>
      <xdr:row>47</xdr:row>
      <xdr:rowOff>110520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12</xdr:row>
      <xdr:rowOff>130680</xdr:rowOff>
    </xdr:from>
    <xdr:to>
      <xdr:col>13</xdr:col>
      <xdr:colOff>103320</xdr:colOff>
      <xdr:row>29</xdr:row>
      <xdr:rowOff>131400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</xdr:row>
      <xdr:rowOff>130680</xdr:rowOff>
    </xdr:from>
    <xdr:to>
      <xdr:col>6</xdr:col>
      <xdr:colOff>840600</xdr:colOff>
      <xdr:row>54</xdr:row>
      <xdr:rowOff>110520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</xdr:row>
      <xdr:rowOff>130680</xdr:rowOff>
    </xdr:from>
    <xdr:to>
      <xdr:col>7</xdr:col>
      <xdr:colOff>88200</xdr:colOff>
      <xdr:row>38</xdr:row>
      <xdr:rowOff>110520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37"/>
  <sheetViews>
    <sheetView showGridLines="0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/>
    </sheetView>
  </sheetViews>
  <sheetFormatPr defaultColWidth="8.6640625" defaultRowHeight="14.4" x14ac:dyDescent="0.3"/>
  <cols>
    <col min="1" max="1" width="2" customWidth="1"/>
    <col min="2" max="2" width="16" customWidth="1"/>
    <col min="3" max="3" width="14" customWidth="1"/>
    <col min="4" max="4" width="16" customWidth="1"/>
    <col min="5" max="6" width="14" customWidth="1"/>
    <col min="7" max="7" width="16" customWidth="1"/>
    <col min="8" max="8" width="14" customWidth="1"/>
    <col min="9" max="9" width="12" customWidth="1"/>
    <col min="10" max="11" width="14" customWidth="1"/>
  </cols>
  <sheetData>
    <row r="2" spans="2:11" ht="24" customHeight="1" x14ac:dyDescent="0.4">
      <c r="B2" s="7" t="s">
        <v>0</v>
      </c>
      <c r="C2" s="7"/>
      <c r="D2" s="7"/>
      <c r="E2" s="7"/>
      <c r="F2" s="7"/>
      <c r="G2" s="7"/>
      <c r="H2" s="7"/>
      <c r="I2" s="7"/>
      <c r="J2" s="7"/>
      <c r="K2" s="7"/>
    </row>
    <row r="3" spans="2:11" ht="15" customHeight="1" x14ac:dyDescent="0.3">
      <c r="B3" s="6" t="s">
        <v>1</v>
      </c>
      <c r="C3" s="6"/>
      <c r="D3" s="6"/>
      <c r="E3" s="6"/>
      <c r="F3" s="6"/>
      <c r="G3" s="6"/>
      <c r="H3" s="6"/>
      <c r="I3" s="6"/>
      <c r="J3" s="6"/>
      <c r="K3" s="6"/>
    </row>
    <row r="5" spans="2:11" ht="15" customHeight="1" x14ac:dyDescent="0.3">
      <c r="B5" s="5" t="s">
        <v>2</v>
      </c>
      <c r="C5" s="5"/>
      <c r="D5" s="5" t="s">
        <v>3</v>
      </c>
      <c r="E5" s="5"/>
      <c r="F5" s="5" t="s">
        <v>4</v>
      </c>
      <c r="G5" s="5"/>
      <c r="H5" s="5" t="s">
        <v>5</v>
      </c>
      <c r="I5" s="5"/>
      <c r="J5" s="5" t="s">
        <v>6</v>
      </c>
      <c r="K5" s="5"/>
    </row>
    <row r="6" spans="2:11" ht="15" customHeight="1" x14ac:dyDescent="0.3">
      <c r="B6" s="4">
        <f>SUM(Raw_MonthlyKPIs!C2:C13)</f>
        <v>22378852</v>
      </c>
      <c r="C6" s="4"/>
      <c r="D6" s="4">
        <f>SUM(Raw_MonthlyKPIs!D2:D13)</f>
        <v>276893482</v>
      </c>
      <c r="E6" s="4"/>
      <c r="F6" s="4">
        <f>SUM(Raw_MonthlyKPIs!B2:B13)</f>
        <v>862573</v>
      </c>
      <c r="G6" s="4"/>
      <c r="H6" s="3">
        <f>SUM(Raw_MonthlyKPIs!D2:D13)/SUM(Raw_MonthlyKPIs!C2:C13)</f>
        <v>12.372997596123341</v>
      </c>
      <c r="I6" s="3"/>
      <c r="J6" s="3">
        <f>SUM(Raw_MonthlyKPIs!C2:C13)/SUM(Raw_MonthlyKPIs!B2:B13)</f>
        <v>25.944299207139569</v>
      </c>
      <c r="K6" s="3"/>
    </row>
    <row r="7" spans="2:11" ht="15" customHeight="1" x14ac:dyDescent="0.3">
      <c r="B7" s="4"/>
      <c r="C7" s="4"/>
      <c r="D7" s="4"/>
      <c r="E7" s="4"/>
      <c r="F7" s="4"/>
      <c r="G7" s="4"/>
      <c r="H7" s="3"/>
      <c r="I7" s="3"/>
      <c r="J7" s="3"/>
      <c r="K7" s="3"/>
    </row>
    <row r="9" spans="2:11" ht="15" customHeight="1" x14ac:dyDescent="0.3">
      <c r="B9" s="2" t="s">
        <v>7</v>
      </c>
      <c r="C9" s="2"/>
      <c r="D9" s="2"/>
      <c r="E9" s="2"/>
      <c r="F9" s="2"/>
      <c r="G9" s="2"/>
      <c r="H9" s="2"/>
      <c r="I9" s="2"/>
      <c r="J9" s="2"/>
      <c r="K9" s="2"/>
    </row>
    <row r="10" spans="2:11" ht="15" customHeight="1" x14ac:dyDescent="0.3">
      <c r="B10" s="8" t="s">
        <v>8</v>
      </c>
      <c r="C10" s="8" t="s">
        <v>4</v>
      </c>
      <c r="D10" s="8" t="s">
        <v>2</v>
      </c>
      <c r="E10" s="8" t="s">
        <v>3</v>
      </c>
      <c r="F10" s="8" t="s">
        <v>9</v>
      </c>
      <c r="G10" s="8" t="s">
        <v>10</v>
      </c>
      <c r="H10" s="8" t="s">
        <v>11</v>
      </c>
      <c r="I10" s="8" t="s">
        <v>12</v>
      </c>
      <c r="J10" s="8" t="s">
        <v>13</v>
      </c>
      <c r="K10" s="8" t="s">
        <v>14</v>
      </c>
    </row>
    <row r="11" spans="2:11" ht="15" customHeight="1" x14ac:dyDescent="0.3">
      <c r="B11" s="9" t="s">
        <v>15</v>
      </c>
      <c r="C11" s="10">
        <f>Raw_MonthlyKPIs!B2</f>
        <v>68955</v>
      </c>
      <c r="D11" s="11">
        <f>Raw_MonthlyKPIs!C2</f>
        <v>1793788</v>
      </c>
      <c r="E11" s="11">
        <f>Raw_MonthlyKPIs!D2</f>
        <v>22190476</v>
      </c>
      <c r="F11" s="12">
        <f>Raw_MonthlyKPIs!E2</f>
        <v>12.3707350032445</v>
      </c>
      <c r="G11" s="12">
        <f>Raw_MonthlyKPIs!F2</f>
        <v>26.013893118700601</v>
      </c>
      <c r="H11" s="10">
        <f>Raw_MonthlyKPIs!G2</f>
        <v>67</v>
      </c>
      <c r="I11" s="12">
        <f>Raw_MonthlyKPIs!H2</f>
        <v>3711</v>
      </c>
      <c r="J11" s="12">
        <f t="shared" ref="J11:J22" si="0">E11/D11</f>
        <v>12.37073500324453</v>
      </c>
      <c r="K11" s="13" t="s">
        <v>16</v>
      </c>
    </row>
    <row r="12" spans="2:11" ht="15" customHeight="1" x14ac:dyDescent="0.3">
      <c r="B12" s="9" t="s">
        <v>17</v>
      </c>
      <c r="C12" s="10">
        <f>Raw_MonthlyKPIs!B3</f>
        <v>72226</v>
      </c>
      <c r="D12" s="11">
        <f>Raw_MonthlyKPIs!C3</f>
        <v>1874851</v>
      </c>
      <c r="E12" s="11">
        <f>Raw_MonthlyKPIs!D3</f>
        <v>23177882</v>
      </c>
      <c r="F12" s="12">
        <f>Raw_MonthlyKPIs!E3</f>
        <v>12.3625194748809</v>
      </c>
      <c r="G12" s="12">
        <f>Raw_MonthlyKPIs!F3</f>
        <v>25.9581175753884</v>
      </c>
      <c r="H12" s="10">
        <f>Raw_MonthlyKPIs!G3</f>
        <v>65</v>
      </c>
      <c r="I12" s="12">
        <f>Raw_MonthlyKPIs!H3</f>
        <v>5412</v>
      </c>
      <c r="J12" s="12">
        <f t="shared" si="0"/>
        <v>12.362519474880937</v>
      </c>
      <c r="K12" s="13">
        <f t="shared" ref="K12:K22" si="1">(E12-E11)/E11</f>
        <v>4.4496837291818345E-2</v>
      </c>
    </row>
    <row r="13" spans="2:11" ht="15" customHeight="1" x14ac:dyDescent="0.3">
      <c r="B13" s="9" t="s">
        <v>18</v>
      </c>
      <c r="C13" s="10">
        <f>Raw_MonthlyKPIs!B4</f>
        <v>77743</v>
      </c>
      <c r="D13" s="11">
        <f>Raw_MonthlyKPIs!C4</f>
        <v>2018275</v>
      </c>
      <c r="E13" s="11">
        <f>Raw_MonthlyKPIs!D4</f>
        <v>24949787</v>
      </c>
      <c r="F13" s="12">
        <f>Raw_MonthlyKPIs!E4</f>
        <v>12.361936306994799</v>
      </c>
      <c r="G13" s="12">
        <f>Raw_MonthlyKPIs!F4</f>
        <v>25.9608582123149</v>
      </c>
      <c r="H13" s="10">
        <f>Raw_MonthlyKPIs!G4</f>
        <v>76</v>
      </c>
      <c r="I13" s="12">
        <f>Raw_MonthlyKPIs!H4</f>
        <v>5120</v>
      </c>
      <c r="J13" s="12">
        <f t="shared" si="0"/>
        <v>12.361936306994835</v>
      </c>
      <c r="K13" s="13">
        <f t="shared" si="1"/>
        <v>7.6448098234342551E-2</v>
      </c>
    </row>
    <row r="14" spans="2:11" ht="15" customHeight="1" x14ac:dyDescent="0.3">
      <c r="B14" s="9" t="s">
        <v>19</v>
      </c>
      <c r="C14" s="10">
        <f>Raw_MonthlyKPIs!B5</f>
        <v>69561</v>
      </c>
      <c r="D14" s="11">
        <f>Raw_MonthlyKPIs!C5</f>
        <v>1809523</v>
      </c>
      <c r="E14" s="11">
        <f>Raw_MonthlyKPIs!D5</f>
        <v>22414174</v>
      </c>
      <c r="F14" s="12">
        <f>Raw_MonthlyKPIs!E5</f>
        <v>12.386785909877901</v>
      </c>
      <c r="G14" s="12">
        <f>Raw_MonthlyKPIs!F5</f>
        <v>26.0134701916304</v>
      </c>
      <c r="H14" s="10">
        <f>Raw_MonthlyKPIs!G5</f>
        <v>61</v>
      </c>
      <c r="I14" s="12">
        <f>Raw_MonthlyKPIs!H5</f>
        <v>4019</v>
      </c>
      <c r="J14" s="12">
        <f t="shared" si="0"/>
        <v>12.386785909877908</v>
      </c>
      <c r="K14" s="13">
        <f t="shared" si="1"/>
        <v>-0.10162864316236447</v>
      </c>
    </row>
    <row r="15" spans="2:11" ht="15" customHeight="1" x14ac:dyDescent="0.3">
      <c r="B15" s="9" t="s">
        <v>20</v>
      </c>
      <c r="C15" s="10">
        <f>Raw_MonthlyKPIs!B6</f>
        <v>74879</v>
      </c>
      <c r="D15" s="11">
        <f>Raw_MonthlyKPIs!C6</f>
        <v>1960043</v>
      </c>
      <c r="E15" s="11">
        <f>Raw_MonthlyKPIs!D6</f>
        <v>24274978</v>
      </c>
      <c r="F15" s="12">
        <f>Raw_MonthlyKPIs!E6</f>
        <v>12.384921147138099</v>
      </c>
      <c r="G15" s="12">
        <f>Raw_MonthlyKPIs!F6</f>
        <v>26.176137501836301</v>
      </c>
      <c r="H15" s="10">
        <f>Raw_MonthlyKPIs!G6</f>
        <v>59</v>
      </c>
      <c r="I15" s="12">
        <f>Raw_MonthlyKPIs!H6</f>
        <v>4251</v>
      </c>
      <c r="J15" s="12">
        <f t="shared" si="0"/>
        <v>12.384921147138099</v>
      </c>
      <c r="K15" s="13">
        <f t="shared" si="1"/>
        <v>8.3019075340451984E-2</v>
      </c>
    </row>
    <row r="16" spans="2:11" ht="15" customHeight="1" x14ac:dyDescent="0.3">
      <c r="B16" s="9" t="s">
        <v>21</v>
      </c>
      <c r="C16" s="10">
        <f>Raw_MonthlyKPIs!B7</f>
        <v>59029</v>
      </c>
      <c r="D16" s="11">
        <f>Raw_MonthlyKPIs!C7</f>
        <v>1527033</v>
      </c>
      <c r="E16" s="11">
        <f>Raw_MonthlyKPIs!D7</f>
        <v>18909731</v>
      </c>
      <c r="F16" s="12">
        <f>Raw_MonthlyKPIs!E7</f>
        <v>12.3833152263245</v>
      </c>
      <c r="G16" s="12">
        <f>Raw_MonthlyKPIs!F7</f>
        <v>25.869199884802399</v>
      </c>
      <c r="H16" s="10">
        <f>Raw_MonthlyKPIs!G7</f>
        <v>66</v>
      </c>
      <c r="I16" s="12">
        <f>Raw_MonthlyKPIs!H7</f>
        <v>4627</v>
      </c>
      <c r="J16" s="12">
        <f t="shared" si="0"/>
        <v>12.383315226324513</v>
      </c>
      <c r="K16" s="13">
        <f t="shared" si="1"/>
        <v>-0.22101964417846229</v>
      </c>
    </row>
    <row r="17" spans="2:11" ht="15" customHeight="1" x14ac:dyDescent="0.3">
      <c r="B17" s="9" t="s">
        <v>22</v>
      </c>
      <c r="C17" s="10">
        <f>Raw_MonthlyKPIs!B8</f>
        <v>64613</v>
      </c>
      <c r="D17" s="11">
        <f>Raw_MonthlyKPIs!C8</f>
        <v>1682743</v>
      </c>
      <c r="E17" s="11">
        <f>Raw_MonthlyKPIs!D8</f>
        <v>20827923</v>
      </c>
      <c r="F17" s="12">
        <f>Raw_MonthlyKPIs!E8</f>
        <v>12.3773642202048</v>
      </c>
      <c r="G17" s="12">
        <f>Raw_MonthlyKPIs!F8</f>
        <v>26.043412316406901</v>
      </c>
      <c r="H17" s="10">
        <f>Raw_MonthlyKPIs!G8</f>
        <v>61</v>
      </c>
      <c r="I17" s="12">
        <f>Raw_MonthlyKPIs!H8</f>
        <v>3793</v>
      </c>
      <c r="J17" s="12">
        <f t="shared" si="0"/>
        <v>12.377364220204749</v>
      </c>
      <c r="K17" s="13">
        <f t="shared" si="1"/>
        <v>0.10143941233220082</v>
      </c>
    </row>
    <row r="18" spans="2:11" ht="15" customHeight="1" x14ac:dyDescent="0.3">
      <c r="B18" s="9" t="s">
        <v>23</v>
      </c>
      <c r="C18" s="10">
        <f>Raw_MonthlyKPIs!B9</f>
        <v>67777</v>
      </c>
      <c r="D18" s="11">
        <f>Raw_MonthlyKPIs!C9</f>
        <v>1749123</v>
      </c>
      <c r="E18" s="11">
        <f>Raw_MonthlyKPIs!D9</f>
        <v>21649238</v>
      </c>
      <c r="F18" s="12">
        <f>Raw_MonthlyKPIs!E9</f>
        <v>12.377195886167</v>
      </c>
      <c r="G18" s="12">
        <f>Raw_MonthlyKPIs!F9</f>
        <v>25.8070289331189</v>
      </c>
      <c r="H18" s="10">
        <f>Raw_MonthlyKPIs!G9</f>
        <v>77</v>
      </c>
      <c r="I18" s="12">
        <f>Raw_MonthlyKPIs!H9</f>
        <v>5404</v>
      </c>
      <c r="J18" s="12">
        <f t="shared" si="0"/>
        <v>12.377195886166954</v>
      </c>
      <c r="K18" s="13">
        <f t="shared" si="1"/>
        <v>3.9433360686036721E-2</v>
      </c>
    </row>
    <row r="19" spans="2:11" ht="15" customHeight="1" x14ac:dyDescent="0.3">
      <c r="B19" s="9" t="s">
        <v>24</v>
      </c>
      <c r="C19" s="10">
        <f>Raw_MonthlyKPIs!B10</f>
        <v>70562</v>
      </c>
      <c r="D19" s="11">
        <f>Raw_MonthlyKPIs!C10</f>
        <v>1829675</v>
      </c>
      <c r="E19" s="11">
        <f>Raw_MonthlyKPIs!D10</f>
        <v>22674288</v>
      </c>
      <c r="F19" s="12">
        <f>Raw_MonthlyKPIs!E10</f>
        <v>12.392522169237701</v>
      </c>
      <c r="G19" s="12">
        <f>Raw_MonthlyKPIs!F10</f>
        <v>25.930033162325302</v>
      </c>
      <c r="H19" s="10">
        <f>Raw_MonthlyKPIs!G10</f>
        <v>70</v>
      </c>
      <c r="I19" s="12">
        <f>Raw_MonthlyKPIs!H10</f>
        <v>3006</v>
      </c>
      <c r="J19" s="12">
        <f t="shared" si="0"/>
        <v>12.392522169237706</v>
      </c>
      <c r="K19" s="13">
        <f t="shared" si="1"/>
        <v>4.7348086801022746E-2</v>
      </c>
    </row>
    <row r="20" spans="2:11" ht="15" customHeight="1" x14ac:dyDescent="0.3">
      <c r="B20" s="9" t="s">
        <v>25</v>
      </c>
      <c r="C20" s="10">
        <f>Raw_MonthlyKPIs!B11</f>
        <v>80963</v>
      </c>
      <c r="D20" s="11">
        <f>Raw_MonthlyKPIs!C11</f>
        <v>2103566</v>
      </c>
      <c r="E20" s="11">
        <f>Raw_MonthlyKPIs!D11</f>
        <v>25985158</v>
      </c>
      <c r="F20" s="12">
        <f>Raw_MonthlyKPIs!E11</f>
        <v>12.352908347064</v>
      </c>
      <c r="G20" s="12">
        <f>Raw_MonthlyKPIs!F11</f>
        <v>25.981818855526601</v>
      </c>
      <c r="H20" s="10">
        <f>Raw_MonthlyKPIs!G11</f>
        <v>58</v>
      </c>
      <c r="I20" s="12">
        <f>Raw_MonthlyKPIs!H11</f>
        <v>3668</v>
      </c>
      <c r="J20" s="12">
        <f t="shared" si="0"/>
        <v>12.352908347063986</v>
      </c>
      <c r="K20" s="13">
        <f t="shared" si="1"/>
        <v>0.14601869747795387</v>
      </c>
    </row>
    <row r="21" spans="2:11" ht="15" customHeight="1" x14ac:dyDescent="0.3">
      <c r="B21" s="9" t="s">
        <v>26</v>
      </c>
      <c r="C21" s="10">
        <f>Raw_MonthlyKPIs!B12</f>
        <v>76002</v>
      </c>
      <c r="D21" s="11">
        <f>Raw_MonthlyKPIs!C12</f>
        <v>1953486</v>
      </c>
      <c r="E21" s="11">
        <f>Raw_MonthlyKPIs!D12</f>
        <v>24168063</v>
      </c>
      <c r="F21" s="12">
        <f>Raw_MonthlyKPIs!E12</f>
        <v>12.3717615585676</v>
      </c>
      <c r="G21" s="12">
        <f>Raw_MonthlyKPIs!F12</f>
        <v>25.703086760874701</v>
      </c>
      <c r="H21" s="10">
        <f>Raw_MonthlyKPIs!G12</f>
        <v>72</v>
      </c>
      <c r="I21" s="12">
        <f>Raw_MonthlyKPIs!H12</f>
        <v>5276</v>
      </c>
      <c r="J21" s="12">
        <f t="shared" si="0"/>
        <v>12.371761558567608</v>
      </c>
      <c r="K21" s="13">
        <f t="shared" si="1"/>
        <v>-6.9928187467630562E-2</v>
      </c>
    </row>
    <row r="22" spans="2:11" ht="15" customHeight="1" x14ac:dyDescent="0.3">
      <c r="B22" s="9" t="s">
        <v>27</v>
      </c>
      <c r="C22" s="10">
        <f>Raw_MonthlyKPIs!B13</f>
        <v>80263</v>
      </c>
      <c r="D22" s="11">
        <f>Raw_MonthlyKPIs!C13</f>
        <v>2076746</v>
      </c>
      <c r="E22" s="11">
        <f>Raw_MonthlyKPIs!D13</f>
        <v>25671784</v>
      </c>
      <c r="F22" s="12">
        <f>Raw_MonthlyKPIs!E13</f>
        <v>12.361542528551899</v>
      </c>
      <c r="G22" s="12">
        <f>Raw_MonthlyKPIs!F13</f>
        <v>25.874263359206601</v>
      </c>
      <c r="H22" s="10">
        <f>Raw_MonthlyKPIs!G13</f>
        <v>68</v>
      </c>
      <c r="I22" s="12">
        <f>Raw_MonthlyKPIs!H13</f>
        <v>3904</v>
      </c>
      <c r="J22" s="12">
        <f t="shared" si="0"/>
        <v>12.36154252855188</v>
      </c>
      <c r="K22" s="13">
        <f t="shared" si="1"/>
        <v>6.2219342940309286E-2</v>
      </c>
    </row>
    <row r="23" spans="2:11" ht="15" customHeight="1" x14ac:dyDescent="0.3">
      <c r="B23" s="14" t="s">
        <v>28</v>
      </c>
      <c r="C23" s="14">
        <f>SUM(C11:C22)</f>
        <v>862573</v>
      </c>
      <c r="D23" s="15">
        <f>SUM(D11:D22)</f>
        <v>22378852</v>
      </c>
      <c r="E23" s="15">
        <f>SUM(E11:E22)</f>
        <v>276893482</v>
      </c>
      <c r="F23" s="16">
        <f>AVERAGE(F11:F22)</f>
        <v>12.373625648187806</v>
      </c>
      <c r="G23" s="16">
        <f>AVERAGE(G11:G22)</f>
        <v>25.944276656011002</v>
      </c>
      <c r="H23" s="14">
        <f>SUM(H11:H22)</f>
        <v>800</v>
      </c>
      <c r="I23" s="16">
        <f>SUM(I11:I22)</f>
        <v>52191</v>
      </c>
      <c r="J23" s="14"/>
      <c r="K23" s="14"/>
    </row>
    <row r="26" spans="2:11" ht="15" customHeight="1" x14ac:dyDescent="0.3">
      <c r="B26" s="2" t="s">
        <v>29</v>
      </c>
      <c r="C26" s="2"/>
      <c r="D26" s="2"/>
      <c r="E26" s="2"/>
      <c r="G26" s="2" t="s">
        <v>30</v>
      </c>
      <c r="H26" s="2"/>
      <c r="I26" s="2"/>
      <c r="J26" s="2"/>
      <c r="K26" s="2"/>
    </row>
    <row r="27" spans="2:11" ht="15" customHeight="1" x14ac:dyDescent="0.3">
      <c r="B27" s="8" t="s">
        <v>31</v>
      </c>
      <c r="C27" s="8" t="s">
        <v>32</v>
      </c>
      <c r="D27" s="8" t="s">
        <v>33</v>
      </c>
      <c r="E27" s="8" t="s">
        <v>2</v>
      </c>
      <c r="G27" s="8" t="s">
        <v>32</v>
      </c>
      <c r="H27" s="8" t="s">
        <v>33</v>
      </c>
      <c r="I27" s="8" t="s">
        <v>34</v>
      </c>
      <c r="J27" s="8" t="s">
        <v>35</v>
      </c>
      <c r="K27" s="8" t="s">
        <v>36</v>
      </c>
    </row>
    <row r="28" spans="2:11" ht="15" customHeight="1" x14ac:dyDescent="0.3">
      <c r="B28" s="10">
        <v>1</v>
      </c>
      <c r="C28" s="17" t="s">
        <v>37</v>
      </c>
      <c r="D28" s="10" t="s">
        <v>38</v>
      </c>
      <c r="E28" s="18">
        <v>964954</v>
      </c>
      <c r="G28" s="17" t="s">
        <v>39</v>
      </c>
      <c r="H28" s="10" t="s">
        <v>40</v>
      </c>
      <c r="I28" s="10">
        <v>32</v>
      </c>
      <c r="J28" s="18">
        <v>2442</v>
      </c>
      <c r="K28" s="17" t="s">
        <v>41</v>
      </c>
    </row>
    <row r="29" spans="2:11" ht="15" customHeight="1" x14ac:dyDescent="0.3">
      <c r="B29" s="10">
        <v>2</v>
      </c>
      <c r="C29" s="17" t="s">
        <v>42</v>
      </c>
      <c r="D29" s="10" t="s">
        <v>43</v>
      </c>
      <c r="E29" s="18">
        <v>959418</v>
      </c>
      <c r="G29" s="17" t="s">
        <v>44</v>
      </c>
      <c r="H29" s="10" t="s">
        <v>43</v>
      </c>
      <c r="I29" s="10">
        <v>27</v>
      </c>
      <c r="J29" s="18">
        <v>2372</v>
      </c>
      <c r="K29" s="17" t="s">
        <v>45</v>
      </c>
    </row>
    <row r="30" spans="2:11" ht="15" customHeight="1" x14ac:dyDescent="0.3">
      <c r="B30" s="10">
        <v>3</v>
      </c>
      <c r="C30" s="17" t="s">
        <v>46</v>
      </c>
      <c r="D30" s="10" t="s">
        <v>43</v>
      </c>
      <c r="E30" s="18">
        <v>957501</v>
      </c>
      <c r="G30" s="17" t="s">
        <v>47</v>
      </c>
      <c r="H30" s="10" t="s">
        <v>40</v>
      </c>
      <c r="I30" s="10">
        <v>26</v>
      </c>
      <c r="J30" s="18">
        <v>2239</v>
      </c>
      <c r="K30" s="17" t="s">
        <v>48</v>
      </c>
    </row>
    <row r="31" spans="2:11" ht="15" customHeight="1" x14ac:dyDescent="0.3">
      <c r="B31" s="10">
        <v>4</v>
      </c>
      <c r="C31" s="17" t="s">
        <v>49</v>
      </c>
      <c r="D31" s="10" t="s">
        <v>38</v>
      </c>
      <c r="E31" s="18">
        <v>955788</v>
      </c>
      <c r="G31" s="17" t="s">
        <v>50</v>
      </c>
      <c r="H31" s="10" t="s">
        <v>38</v>
      </c>
      <c r="I31" s="10">
        <v>25</v>
      </c>
      <c r="J31" s="18">
        <v>1884</v>
      </c>
      <c r="K31" s="17" t="s">
        <v>51</v>
      </c>
    </row>
    <row r="32" spans="2:11" ht="15" customHeight="1" x14ac:dyDescent="0.3">
      <c r="B32" s="10">
        <v>5</v>
      </c>
      <c r="C32" s="17" t="s">
        <v>52</v>
      </c>
      <c r="D32" s="10" t="s">
        <v>38</v>
      </c>
      <c r="E32" s="18">
        <v>955230</v>
      </c>
      <c r="G32" s="17" t="s">
        <v>53</v>
      </c>
      <c r="H32" s="10" t="s">
        <v>38</v>
      </c>
      <c r="I32" s="10">
        <v>27</v>
      </c>
      <c r="J32" s="18">
        <v>1878</v>
      </c>
      <c r="K32" s="17" t="s">
        <v>51</v>
      </c>
    </row>
    <row r="33" spans="2:5" ht="15" customHeight="1" x14ac:dyDescent="0.3">
      <c r="B33" s="10">
        <v>6</v>
      </c>
      <c r="C33" s="17" t="s">
        <v>54</v>
      </c>
      <c r="D33" s="10" t="s">
        <v>38</v>
      </c>
      <c r="E33" s="18">
        <v>954850</v>
      </c>
    </row>
    <row r="34" spans="2:5" ht="15" customHeight="1" x14ac:dyDescent="0.3">
      <c r="B34" s="10">
        <v>7</v>
      </c>
      <c r="C34" s="17" t="s">
        <v>55</v>
      </c>
      <c r="D34" s="10" t="s">
        <v>43</v>
      </c>
      <c r="E34" s="18">
        <v>954332</v>
      </c>
    </row>
    <row r="35" spans="2:5" ht="15" customHeight="1" x14ac:dyDescent="0.3">
      <c r="B35" s="10">
        <v>8</v>
      </c>
      <c r="C35" s="17" t="s">
        <v>56</v>
      </c>
      <c r="D35" s="10" t="s">
        <v>40</v>
      </c>
      <c r="E35" s="18">
        <v>954218</v>
      </c>
    </row>
    <row r="36" spans="2:5" ht="15" customHeight="1" x14ac:dyDescent="0.3">
      <c r="B36" s="10">
        <v>9</v>
      </c>
      <c r="C36" s="17" t="s">
        <v>50</v>
      </c>
      <c r="D36" s="10" t="s">
        <v>38</v>
      </c>
      <c r="E36" s="18">
        <v>952212</v>
      </c>
    </row>
    <row r="37" spans="2:5" ht="15" customHeight="1" x14ac:dyDescent="0.3">
      <c r="B37" s="10">
        <v>10</v>
      </c>
      <c r="C37" s="17" t="s">
        <v>53</v>
      </c>
      <c r="D37" s="10" t="s">
        <v>38</v>
      </c>
      <c r="E37" s="18">
        <v>951660</v>
      </c>
    </row>
  </sheetData>
  <mergeCells count="15">
    <mergeCell ref="B9:K9"/>
    <mergeCell ref="B26:E26"/>
    <mergeCell ref="G26:K26"/>
    <mergeCell ref="B6:C7"/>
    <mergeCell ref="D6:E7"/>
    <mergeCell ref="F6:G7"/>
    <mergeCell ref="H6:I7"/>
    <mergeCell ref="J6:K7"/>
    <mergeCell ref="B2:K2"/>
    <mergeCell ref="B3:K3"/>
    <mergeCell ref="B5:C5"/>
    <mergeCell ref="D5:E5"/>
    <mergeCell ref="F5:G5"/>
    <mergeCell ref="H5:I5"/>
    <mergeCell ref="J5:K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17"/>
  <sheetViews>
    <sheetView showGridLines="0" zoomScaleNormal="100" workbookViewId="0"/>
  </sheetViews>
  <sheetFormatPr defaultColWidth="8.6640625" defaultRowHeight="14.4" x14ac:dyDescent="0.3"/>
  <cols>
    <col min="1" max="1" width="2" customWidth="1"/>
    <col min="2" max="2" width="14" customWidth="1"/>
    <col min="3" max="4" width="18" customWidth="1"/>
    <col min="5" max="5" width="14" customWidth="1"/>
    <col min="6" max="6" width="18" customWidth="1"/>
    <col min="7" max="7" width="2" customWidth="1"/>
    <col min="8" max="8" width="18" customWidth="1"/>
    <col min="9" max="9" width="10" customWidth="1"/>
    <col min="10" max="10" width="18" customWidth="1"/>
  </cols>
  <sheetData>
    <row r="2" spans="2:12" ht="19.5" customHeight="1" x14ac:dyDescent="0.4">
      <c r="B2" s="7" t="s">
        <v>57</v>
      </c>
      <c r="C2" s="7"/>
      <c r="D2" s="7"/>
      <c r="E2" s="7"/>
      <c r="F2" s="7"/>
      <c r="G2" s="7"/>
      <c r="H2" s="7"/>
      <c r="I2" s="7"/>
      <c r="J2" s="7"/>
    </row>
    <row r="3" spans="2:12" ht="15" customHeight="1" x14ac:dyDescent="0.3">
      <c r="B3" s="6" t="s">
        <v>58</v>
      </c>
      <c r="C3" s="6"/>
      <c r="D3" s="6"/>
      <c r="E3" s="6"/>
      <c r="F3" s="6"/>
      <c r="G3" s="6"/>
      <c r="H3" s="6"/>
      <c r="I3" s="6"/>
      <c r="J3" s="6"/>
    </row>
    <row r="5" spans="2:12" ht="15" customHeight="1" x14ac:dyDescent="0.3">
      <c r="B5" s="8" t="s">
        <v>8</v>
      </c>
      <c r="C5" s="8" t="s">
        <v>2</v>
      </c>
      <c r="D5" s="8" t="s">
        <v>3</v>
      </c>
      <c r="E5" s="8" t="s">
        <v>12</v>
      </c>
      <c r="F5" s="8" t="s">
        <v>10</v>
      </c>
      <c r="H5" s="8" t="s">
        <v>59</v>
      </c>
      <c r="I5" s="8" t="s">
        <v>60</v>
      </c>
      <c r="J5" s="8" t="s">
        <v>61</v>
      </c>
      <c r="K5" s="8" t="s">
        <v>62</v>
      </c>
      <c r="L5" s="8" t="s">
        <v>9</v>
      </c>
    </row>
    <row r="6" spans="2:12" ht="15" customHeight="1" x14ac:dyDescent="0.3">
      <c r="B6" s="17" t="str">
        <f>'KPI Summary'!B11</f>
        <v>Jan</v>
      </c>
      <c r="C6" s="11">
        <f>'KPI Summary'!D11</f>
        <v>1793788</v>
      </c>
      <c r="D6" s="11">
        <f>'KPI Summary'!E11</f>
        <v>22190476</v>
      </c>
      <c r="E6" s="11">
        <f>'KPI Summary'!I11</f>
        <v>3711</v>
      </c>
      <c r="F6" s="12">
        <f>'KPI Summary'!G11</f>
        <v>26.013893118700601</v>
      </c>
      <c r="H6" s="17" t="s">
        <v>63</v>
      </c>
      <c r="I6" s="10">
        <v>193</v>
      </c>
      <c r="J6" s="11">
        <v>66829</v>
      </c>
      <c r="K6" s="11">
        <v>826772</v>
      </c>
      <c r="L6" s="12">
        <v>12.37</v>
      </c>
    </row>
    <row r="7" spans="2:12" ht="15" customHeight="1" x14ac:dyDescent="0.3">
      <c r="B7" s="17" t="str">
        <f>'KPI Summary'!B12</f>
        <v>Feb</v>
      </c>
      <c r="C7" s="11">
        <f>'KPI Summary'!D12</f>
        <v>1874851</v>
      </c>
      <c r="D7" s="11">
        <f>'KPI Summary'!E12</f>
        <v>23177882</v>
      </c>
      <c r="E7" s="11">
        <f>'KPI Summary'!I12</f>
        <v>5412</v>
      </c>
      <c r="F7" s="12">
        <f>'KPI Summary'!G12</f>
        <v>25.9581175753884</v>
      </c>
      <c r="H7" s="17" t="s">
        <v>64</v>
      </c>
      <c r="I7" s="10">
        <v>30</v>
      </c>
      <c r="J7" s="11">
        <v>66596</v>
      </c>
      <c r="K7" s="11">
        <v>823406</v>
      </c>
      <c r="L7" s="12">
        <v>12.36</v>
      </c>
    </row>
    <row r="8" spans="2:12" ht="15" customHeight="1" x14ac:dyDescent="0.3">
      <c r="B8" s="17" t="str">
        <f>'KPI Summary'!B13</f>
        <v>Mar</v>
      </c>
      <c r="C8" s="11">
        <f>'KPI Summary'!D13</f>
        <v>2018275</v>
      </c>
      <c r="D8" s="11">
        <f>'KPI Summary'!E13</f>
        <v>24949787</v>
      </c>
      <c r="E8" s="11">
        <f>'KPI Summary'!I13</f>
        <v>5120</v>
      </c>
      <c r="F8" s="12">
        <f>'KPI Summary'!G13</f>
        <v>25.9608582123149</v>
      </c>
      <c r="H8" s="17" t="s">
        <v>65</v>
      </c>
      <c r="I8" s="10">
        <v>18</v>
      </c>
      <c r="J8" s="11">
        <v>24432</v>
      </c>
      <c r="K8" s="11">
        <v>302263</v>
      </c>
      <c r="L8" s="12">
        <v>12.37</v>
      </c>
    </row>
    <row r="9" spans="2:12" ht="15" customHeight="1" x14ac:dyDescent="0.3">
      <c r="B9" s="17" t="str">
        <f>'KPI Summary'!B14</f>
        <v>Apr</v>
      </c>
      <c r="C9" s="11">
        <f>'KPI Summary'!D14</f>
        <v>1809523</v>
      </c>
      <c r="D9" s="11">
        <f>'KPI Summary'!E14</f>
        <v>22414174</v>
      </c>
      <c r="E9" s="11">
        <f>'KPI Summary'!I14</f>
        <v>4019</v>
      </c>
      <c r="F9" s="12">
        <f>'KPI Summary'!G14</f>
        <v>26.0134701916304</v>
      </c>
      <c r="H9" s="17" t="s">
        <v>66</v>
      </c>
      <c r="I9" s="10">
        <v>125</v>
      </c>
      <c r="J9" s="11">
        <v>56345</v>
      </c>
      <c r="K9" s="11">
        <v>697468</v>
      </c>
      <c r="L9" s="12">
        <v>12.38</v>
      </c>
    </row>
    <row r="10" spans="2:12" ht="15" customHeight="1" x14ac:dyDescent="0.3">
      <c r="B10" s="17" t="str">
        <f>'KPI Summary'!B15</f>
        <v>May</v>
      </c>
      <c r="C10" s="11">
        <f>'KPI Summary'!D15</f>
        <v>1960043</v>
      </c>
      <c r="D10" s="11">
        <f>'KPI Summary'!E15</f>
        <v>24274978</v>
      </c>
      <c r="E10" s="11">
        <f>'KPI Summary'!I15</f>
        <v>4251</v>
      </c>
      <c r="F10" s="12">
        <f>'KPI Summary'!G15</f>
        <v>26.176137501836301</v>
      </c>
    </row>
    <row r="11" spans="2:12" ht="15" customHeight="1" x14ac:dyDescent="0.3">
      <c r="B11" s="17" t="str">
        <f>'KPI Summary'!B16</f>
        <v>Jun</v>
      </c>
      <c r="C11" s="11">
        <f>'KPI Summary'!D16</f>
        <v>1527033</v>
      </c>
      <c r="D11" s="11">
        <f>'KPI Summary'!E16</f>
        <v>18909731</v>
      </c>
      <c r="E11" s="11">
        <f>'KPI Summary'!I16</f>
        <v>4627</v>
      </c>
      <c r="F11" s="12">
        <f>'KPI Summary'!G16</f>
        <v>25.869199884802399</v>
      </c>
      <c r="H11" s="1" t="s">
        <v>67</v>
      </c>
      <c r="I11" s="1"/>
      <c r="J11" s="1"/>
      <c r="K11" s="1"/>
      <c r="L11" s="1"/>
    </row>
    <row r="12" spans="2:12" ht="15" customHeight="1" x14ac:dyDescent="0.3">
      <c r="B12" s="17" t="str">
        <f>'KPI Summary'!B17</f>
        <v>Jul</v>
      </c>
      <c r="C12" s="11">
        <f>'KPI Summary'!D17</f>
        <v>1682743</v>
      </c>
      <c r="D12" s="11">
        <f>'KPI Summary'!E17</f>
        <v>20827923</v>
      </c>
      <c r="E12" s="11">
        <f>'KPI Summary'!I17</f>
        <v>3793</v>
      </c>
      <c r="F12" s="12">
        <f>'KPI Summary'!G17</f>
        <v>26.043412316406901</v>
      </c>
      <c r="H12" s="1"/>
      <c r="I12" s="1"/>
      <c r="J12" s="1"/>
      <c r="K12" s="1"/>
      <c r="L12" s="1"/>
    </row>
    <row r="13" spans="2:12" ht="15" customHeight="1" x14ac:dyDescent="0.3">
      <c r="B13" s="17" t="str">
        <f>'KPI Summary'!B18</f>
        <v>Aug</v>
      </c>
      <c r="C13" s="11">
        <f>'KPI Summary'!D18</f>
        <v>1749123</v>
      </c>
      <c r="D13" s="11">
        <f>'KPI Summary'!E18</f>
        <v>21649238</v>
      </c>
      <c r="E13" s="11">
        <f>'KPI Summary'!I18</f>
        <v>5404</v>
      </c>
      <c r="F13" s="12">
        <f>'KPI Summary'!G18</f>
        <v>25.8070289331189</v>
      </c>
      <c r="H13" s="1"/>
      <c r="I13" s="1"/>
      <c r="J13" s="1"/>
      <c r="K13" s="1"/>
      <c r="L13" s="1"/>
    </row>
    <row r="14" spans="2:12" ht="15" customHeight="1" x14ac:dyDescent="0.3">
      <c r="B14" s="17" t="str">
        <f>'KPI Summary'!B19</f>
        <v>Sep</v>
      </c>
      <c r="C14" s="11">
        <f>'KPI Summary'!D19</f>
        <v>1829675</v>
      </c>
      <c r="D14" s="11">
        <f>'KPI Summary'!E19</f>
        <v>22674288</v>
      </c>
      <c r="E14" s="11">
        <f>'KPI Summary'!I19</f>
        <v>3006</v>
      </c>
      <c r="F14" s="12">
        <f>'KPI Summary'!G19</f>
        <v>25.930033162325302</v>
      </c>
    </row>
    <row r="15" spans="2:12" ht="15" customHeight="1" x14ac:dyDescent="0.3">
      <c r="B15" s="17" t="str">
        <f>'KPI Summary'!B20</f>
        <v>Oct</v>
      </c>
      <c r="C15" s="11">
        <f>'KPI Summary'!D20</f>
        <v>2103566</v>
      </c>
      <c r="D15" s="11">
        <f>'KPI Summary'!E20</f>
        <v>25985158</v>
      </c>
      <c r="E15" s="11">
        <f>'KPI Summary'!I20</f>
        <v>3668</v>
      </c>
      <c r="F15" s="12">
        <f>'KPI Summary'!G20</f>
        <v>25.981818855526601</v>
      </c>
    </row>
    <row r="16" spans="2:12" ht="15" customHeight="1" x14ac:dyDescent="0.3">
      <c r="B16" s="17" t="str">
        <f>'KPI Summary'!B21</f>
        <v>Nov</v>
      </c>
      <c r="C16" s="11">
        <f>'KPI Summary'!D21</f>
        <v>1953486</v>
      </c>
      <c r="D16" s="11">
        <f>'KPI Summary'!E21</f>
        <v>24168063</v>
      </c>
      <c r="E16" s="11">
        <f>'KPI Summary'!I21</f>
        <v>5276</v>
      </c>
      <c r="F16" s="12">
        <f>'KPI Summary'!G21</f>
        <v>25.703086760874701</v>
      </c>
    </row>
    <row r="17" spans="2:6" ht="15" customHeight="1" x14ac:dyDescent="0.3">
      <c r="B17" s="17" t="str">
        <f>'KPI Summary'!B22</f>
        <v>Dec</v>
      </c>
      <c r="C17" s="11">
        <f>'KPI Summary'!D22</f>
        <v>2076746</v>
      </c>
      <c r="D17" s="11">
        <f>'KPI Summary'!E22</f>
        <v>25671784</v>
      </c>
      <c r="E17" s="11">
        <f>'KPI Summary'!I22</f>
        <v>3904</v>
      </c>
      <c r="F17" s="12">
        <f>'KPI Summary'!G22</f>
        <v>25.874263359206601</v>
      </c>
    </row>
  </sheetData>
  <mergeCells count="3">
    <mergeCell ref="B2:J2"/>
    <mergeCell ref="B3:J3"/>
    <mergeCell ref="H11:L1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29"/>
  <sheetViews>
    <sheetView showGridLines="0" zoomScaleNormal="100" workbookViewId="0"/>
  </sheetViews>
  <sheetFormatPr defaultColWidth="8.6640625" defaultRowHeight="14.4" x14ac:dyDescent="0.3"/>
  <cols>
    <col min="1" max="1" width="2" customWidth="1"/>
    <col min="2" max="2" width="10" customWidth="1"/>
    <col min="3" max="3" width="16" customWidth="1"/>
    <col min="4" max="4" width="18" customWidth="1"/>
    <col min="5" max="5" width="14" customWidth="1"/>
    <col min="6" max="6" width="18" customWidth="1"/>
    <col min="7" max="7" width="2" customWidth="1"/>
    <col min="8" max="9" width="16" customWidth="1"/>
    <col min="10" max="10" width="12" customWidth="1"/>
  </cols>
  <sheetData>
    <row r="2" spans="2:10" ht="19.5" customHeight="1" x14ac:dyDescent="0.4">
      <c r="B2" s="7" t="s">
        <v>68</v>
      </c>
      <c r="C2" s="7"/>
      <c r="D2" s="7"/>
      <c r="E2" s="7"/>
      <c r="F2" s="7"/>
      <c r="G2" s="7"/>
    </row>
    <row r="3" spans="2:10" ht="15" customHeight="1" x14ac:dyDescent="0.3">
      <c r="B3" s="6" t="s">
        <v>69</v>
      </c>
      <c r="C3" s="6"/>
      <c r="D3" s="6"/>
      <c r="E3" s="6"/>
      <c r="F3" s="6"/>
      <c r="G3" s="6"/>
    </row>
    <row r="5" spans="2:10" ht="15" customHeight="1" x14ac:dyDescent="0.3">
      <c r="B5" s="8" t="s">
        <v>70</v>
      </c>
      <c r="C5" s="8" t="s">
        <v>71</v>
      </c>
      <c r="D5" s="8" t="s">
        <v>2</v>
      </c>
      <c r="E5" s="8" t="s">
        <v>4</v>
      </c>
      <c r="F5" s="8" t="s">
        <v>10</v>
      </c>
      <c r="H5" s="8" t="s">
        <v>71</v>
      </c>
      <c r="I5" s="8" t="s">
        <v>2</v>
      </c>
      <c r="J5" s="8" t="s">
        <v>4</v>
      </c>
    </row>
    <row r="6" spans="2:10" ht="15" customHeight="1" x14ac:dyDescent="0.3">
      <c r="B6" s="10">
        <v>0</v>
      </c>
      <c r="C6" s="17" t="s">
        <v>72</v>
      </c>
      <c r="D6" s="11">
        <v>319136</v>
      </c>
      <c r="E6" s="11">
        <v>16445</v>
      </c>
      <c r="F6" s="12">
        <v>19.41</v>
      </c>
      <c r="H6" s="17" t="s">
        <v>73</v>
      </c>
      <c r="I6" s="11">
        <v>6391037</v>
      </c>
      <c r="J6" s="11">
        <v>184995</v>
      </c>
    </row>
    <row r="7" spans="2:10" ht="15" customHeight="1" x14ac:dyDescent="0.3">
      <c r="B7" s="10">
        <v>1</v>
      </c>
      <c r="C7" s="17" t="s">
        <v>72</v>
      </c>
      <c r="D7" s="11">
        <v>319781</v>
      </c>
      <c r="E7" s="11">
        <v>16452</v>
      </c>
      <c r="F7" s="12">
        <v>19.440000000000001</v>
      </c>
      <c r="H7" s="17" t="s">
        <v>74</v>
      </c>
      <c r="I7" s="11">
        <v>6411938</v>
      </c>
      <c r="J7" s="11">
        <v>328602</v>
      </c>
    </row>
    <row r="8" spans="2:10" ht="15" customHeight="1" x14ac:dyDescent="0.3">
      <c r="B8" s="10">
        <v>2</v>
      </c>
      <c r="C8" s="17" t="s">
        <v>72</v>
      </c>
      <c r="D8" s="11">
        <v>322109</v>
      </c>
      <c r="E8" s="11">
        <v>16477</v>
      </c>
      <c r="F8" s="12">
        <v>19.55</v>
      </c>
      <c r="H8" s="17" t="s">
        <v>75</v>
      </c>
      <c r="I8" s="11">
        <v>6380937</v>
      </c>
      <c r="J8" s="11">
        <v>184859</v>
      </c>
    </row>
    <row r="9" spans="2:10" ht="15" customHeight="1" x14ac:dyDescent="0.3">
      <c r="B9" s="10">
        <v>3</v>
      </c>
      <c r="C9" s="17" t="s">
        <v>72</v>
      </c>
      <c r="D9" s="11">
        <v>326141</v>
      </c>
      <c r="E9" s="11">
        <v>16697</v>
      </c>
      <c r="F9" s="12">
        <v>19.53</v>
      </c>
      <c r="H9" s="17" t="s">
        <v>72</v>
      </c>
      <c r="I9" s="11">
        <v>3194940</v>
      </c>
      <c r="J9" s="11">
        <v>164117</v>
      </c>
    </row>
    <row r="10" spans="2:10" ht="15" customHeight="1" x14ac:dyDescent="0.3">
      <c r="B10" s="10">
        <v>4</v>
      </c>
      <c r="C10" s="17" t="s">
        <v>72</v>
      </c>
      <c r="D10" s="11">
        <v>311929</v>
      </c>
      <c r="E10" s="11">
        <v>16272</v>
      </c>
      <c r="F10" s="12">
        <v>19.170000000000002</v>
      </c>
    </row>
    <row r="11" spans="2:10" ht="15" customHeight="1" x14ac:dyDescent="0.3">
      <c r="B11" s="10">
        <v>5</v>
      </c>
      <c r="C11" s="17" t="s">
        <v>72</v>
      </c>
      <c r="D11" s="11">
        <v>321948</v>
      </c>
      <c r="E11" s="11">
        <v>16512</v>
      </c>
      <c r="F11" s="12">
        <v>19.5</v>
      </c>
    </row>
    <row r="12" spans="2:10" ht="15" customHeight="1" x14ac:dyDescent="0.3">
      <c r="B12" s="10">
        <v>6</v>
      </c>
      <c r="C12" s="17" t="s">
        <v>73</v>
      </c>
      <c r="D12" s="11">
        <v>2122926</v>
      </c>
      <c r="E12" s="11">
        <v>61648</v>
      </c>
      <c r="F12" s="12">
        <v>34.44</v>
      </c>
    </row>
    <row r="13" spans="2:10" ht="15" customHeight="1" x14ac:dyDescent="0.3">
      <c r="B13" s="10">
        <v>7</v>
      </c>
      <c r="C13" s="17" t="s">
        <v>73</v>
      </c>
      <c r="D13" s="11">
        <v>2142818</v>
      </c>
      <c r="E13" s="11">
        <v>61835</v>
      </c>
      <c r="F13" s="12">
        <v>34.65</v>
      </c>
    </row>
    <row r="14" spans="2:10" ht="15" customHeight="1" x14ac:dyDescent="0.3">
      <c r="B14" s="10">
        <v>8</v>
      </c>
      <c r="C14" s="17" t="s">
        <v>73</v>
      </c>
      <c r="D14" s="11">
        <v>2125293</v>
      </c>
      <c r="E14" s="11">
        <v>61512</v>
      </c>
      <c r="F14" s="12">
        <v>34.549999999999997</v>
      </c>
    </row>
    <row r="15" spans="2:10" ht="15" customHeight="1" x14ac:dyDescent="0.3">
      <c r="B15" s="10">
        <v>9</v>
      </c>
      <c r="C15" s="17" t="s">
        <v>74</v>
      </c>
      <c r="D15" s="11">
        <v>803965</v>
      </c>
      <c r="E15" s="11">
        <v>41278</v>
      </c>
      <c r="F15" s="12">
        <v>19.48</v>
      </c>
    </row>
    <row r="16" spans="2:10" ht="15" customHeight="1" x14ac:dyDescent="0.3">
      <c r="B16" s="10">
        <v>10</v>
      </c>
      <c r="C16" s="17" t="s">
        <v>74</v>
      </c>
      <c r="D16" s="11">
        <v>790963</v>
      </c>
      <c r="E16" s="11">
        <v>40831</v>
      </c>
      <c r="F16" s="12">
        <v>19.37</v>
      </c>
    </row>
    <row r="17" spans="2:6" ht="15" customHeight="1" x14ac:dyDescent="0.3">
      <c r="B17" s="10">
        <v>11</v>
      </c>
      <c r="C17" s="17" t="s">
        <v>74</v>
      </c>
      <c r="D17" s="11">
        <v>805447</v>
      </c>
      <c r="E17" s="11">
        <v>41158</v>
      </c>
      <c r="F17" s="12">
        <v>19.57</v>
      </c>
    </row>
    <row r="18" spans="2:6" ht="15" customHeight="1" x14ac:dyDescent="0.3">
      <c r="B18" s="10">
        <v>12</v>
      </c>
      <c r="C18" s="17" t="s">
        <v>74</v>
      </c>
      <c r="D18" s="11">
        <v>804448</v>
      </c>
      <c r="E18" s="11">
        <v>41045</v>
      </c>
      <c r="F18" s="12">
        <v>19.600000000000001</v>
      </c>
    </row>
    <row r="19" spans="2:6" ht="15" customHeight="1" x14ac:dyDescent="0.3">
      <c r="B19" s="10">
        <v>13</v>
      </c>
      <c r="C19" s="17" t="s">
        <v>74</v>
      </c>
      <c r="D19" s="11">
        <v>801597</v>
      </c>
      <c r="E19" s="11">
        <v>41261</v>
      </c>
      <c r="F19" s="12">
        <v>19.43</v>
      </c>
    </row>
    <row r="20" spans="2:6" ht="15" customHeight="1" x14ac:dyDescent="0.3">
      <c r="B20" s="10">
        <v>14</v>
      </c>
      <c r="C20" s="17" t="s">
        <v>74</v>
      </c>
      <c r="D20" s="11">
        <v>792067</v>
      </c>
      <c r="E20" s="11">
        <v>40769</v>
      </c>
      <c r="F20" s="12">
        <v>19.43</v>
      </c>
    </row>
    <row r="21" spans="2:6" ht="15" customHeight="1" x14ac:dyDescent="0.3">
      <c r="B21" s="10">
        <v>15</v>
      </c>
      <c r="C21" s="17" t="s">
        <v>74</v>
      </c>
      <c r="D21" s="11">
        <v>803044</v>
      </c>
      <c r="E21" s="11">
        <v>41035</v>
      </c>
      <c r="F21" s="12">
        <v>19.57</v>
      </c>
    </row>
    <row r="22" spans="2:6" ht="15" customHeight="1" x14ac:dyDescent="0.3">
      <c r="B22" s="10">
        <v>16</v>
      </c>
      <c r="C22" s="17" t="s">
        <v>74</v>
      </c>
      <c r="D22" s="11">
        <v>810407</v>
      </c>
      <c r="E22" s="11">
        <v>41225</v>
      </c>
      <c r="F22" s="12">
        <v>19.66</v>
      </c>
    </row>
    <row r="23" spans="2:6" ht="15" customHeight="1" x14ac:dyDescent="0.3">
      <c r="B23" s="10">
        <v>17</v>
      </c>
      <c r="C23" s="17" t="s">
        <v>75</v>
      </c>
      <c r="D23" s="11">
        <v>2122478</v>
      </c>
      <c r="E23" s="11">
        <v>61563</v>
      </c>
      <c r="F23" s="12">
        <v>34.479999999999997</v>
      </c>
    </row>
    <row r="24" spans="2:6" ht="15" customHeight="1" x14ac:dyDescent="0.3">
      <c r="B24" s="10">
        <v>18</v>
      </c>
      <c r="C24" s="17" t="s">
        <v>75</v>
      </c>
      <c r="D24" s="11">
        <v>2116706</v>
      </c>
      <c r="E24" s="11">
        <v>61663</v>
      </c>
      <c r="F24" s="12">
        <v>34.33</v>
      </c>
    </row>
    <row r="25" spans="2:6" ht="15" customHeight="1" x14ac:dyDescent="0.3">
      <c r="B25" s="10">
        <v>19</v>
      </c>
      <c r="C25" s="17" t="s">
        <v>75</v>
      </c>
      <c r="D25" s="11">
        <v>2141753</v>
      </c>
      <c r="E25" s="11">
        <v>61633</v>
      </c>
      <c r="F25" s="12">
        <v>34.75</v>
      </c>
    </row>
    <row r="26" spans="2:6" ht="15" customHeight="1" x14ac:dyDescent="0.3">
      <c r="B26" s="10">
        <v>20</v>
      </c>
      <c r="C26" s="17" t="s">
        <v>72</v>
      </c>
      <c r="D26" s="11">
        <v>322230</v>
      </c>
      <c r="E26" s="11">
        <v>16520</v>
      </c>
      <c r="F26" s="12">
        <v>19.510000000000002</v>
      </c>
    </row>
    <row r="27" spans="2:6" ht="15" customHeight="1" x14ac:dyDescent="0.3">
      <c r="B27" s="10">
        <v>21</v>
      </c>
      <c r="C27" s="17" t="s">
        <v>72</v>
      </c>
      <c r="D27" s="11">
        <v>315421</v>
      </c>
      <c r="E27" s="11">
        <v>16181</v>
      </c>
      <c r="F27" s="12">
        <v>19.489999999999998</v>
      </c>
    </row>
    <row r="28" spans="2:6" ht="15" customHeight="1" x14ac:dyDescent="0.3">
      <c r="B28" s="10">
        <v>22</v>
      </c>
      <c r="C28" s="17" t="s">
        <v>72</v>
      </c>
      <c r="D28" s="11">
        <v>318362</v>
      </c>
      <c r="E28" s="11">
        <v>16255</v>
      </c>
      <c r="F28" s="12">
        <v>19.59</v>
      </c>
    </row>
    <row r="29" spans="2:6" ht="15" customHeight="1" x14ac:dyDescent="0.3">
      <c r="B29" s="10">
        <v>23</v>
      </c>
      <c r="C29" s="17" t="s">
        <v>72</v>
      </c>
      <c r="D29" s="11">
        <v>317883</v>
      </c>
      <c r="E29" s="11">
        <v>16306</v>
      </c>
      <c r="F29" s="12">
        <v>19.489999999999998</v>
      </c>
    </row>
  </sheetData>
  <mergeCells count="2">
    <mergeCell ref="B2:G2"/>
    <mergeCell ref="B3:G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34"/>
  <sheetViews>
    <sheetView showGridLines="0" zoomScaleNormal="100" workbookViewId="0"/>
  </sheetViews>
  <sheetFormatPr defaultColWidth="8.6640625" defaultRowHeight="14.4" x14ac:dyDescent="0.3"/>
  <cols>
    <col min="1" max="1" width="2" customWidth="1"/>
    <col min="2" max="2" width="18" customWidth="1"/>
    <col min="3" max="5" width="16" customWidth="1"/>
    <col min="6" max="6" width="14" customWidth="1"/>
    <col min="7" max="7" width="18" customWidth="1"/>
    <col min="8" max="8" width="12" customWidth="1"/>
  </cols>
  <sheetData>
    <row r="2" spans="2:8" ht="19.5" customHeight="1" x14ac:dyDescent="0.4">
      <c r="B2" s="7" t="s">
        <v>76</v>
      </c>
      <c r="C2" s="7"/>
      <c r="D2" s="7"/>
      <c r="E2" s="7"/>
      <c r="F2" s="7"/>
      <c r="G2" s="7"/>
      <c r="H2" s="7"/>
    </row>
    <row r="3" spans="2:8" ht="15" customHeight="1" x14ac:dyDescent="0.3">
      <c r="B3" s="6" t="s">
        <v>77</v>
      </c>
      <c r="C3" s="6"/>
      <c r="D3" s="6"/>
      <c r="E3" s="6"/>
      <c r="F3" s="6"/>
      <c r="G3" s="6"/>
      <c r="H3" s="6"/>
    </row>
    <row r="5" spans="2:8" ht="15" customHeight="1" x14ac:dyDescent="0.3">
      <c r="B5" s="2" t="s">
        <v>78</v>
      </c>
      <c r="C5" s="2"/>
      <c r="D5" s="2"/>
      <c r="E5" s="2"/>
      <c r="F5" s="2"/>
      <c r="G5" s="2"/>
    </row>
    <row r="6" spans="2:8" ht="15" customHeight="1" x14ac:dyDescent="0.3">
      <c r="B6" s="8" t="s">
        <v>31</v>
      </c>
      <c r="C6" s="8" t="s">
        <v>32</v>
      </c>
      <c r="D6" s="8" t="s">
        <v>33</v>
      </c>
      <c r="E6" s="8" t="s">
        <v>2</v>
      </c>
      <c r="F6" s="8" t="s">
        <v>4</v>
      </c>
      <c r="G6" s="8" t="s">
        <v>79</v>
      </c>
    </row>
    <row r="7" spans="2:8" ht="15" customHeight="1" x14ac:dyDescent="0.3">
      <c r="B7" s="10">
        <v>1</v>
      </c>
      <c r="C7" s="17" t="s">
        <v>37</v>
      </c>
      <c r="D7" s="10" t="s">
        <v>38</v>
      </c>
      <c r="E7" s="18">
        <v>964954</v>
      </c>
      <c r="F7" s="18">
        <v>37006</v>
      </c>
      <c r="G7" s="17" t="s">
        <v>80</v>
      </c>
    </row>
    <row r="8" spans="2:8" ht="15" customHeight="1" x14ac:dyDescent="0.3">
      <c r="B8" s="10">
        <v>2</v>
      </c>
      <c r="C8" s="17" t="s">
        <v>42</v>
      </c>
      <c r="D8" s="10" t="s">
        <v>43</v>
      </c>
      <c r="E8" s="18">
        <v>959418</v>
      </c>
      <c r="F8" s="18">
        <v>36886</v>
      </c>
      <c r="G8" s="17" t="s">
        <v>80</v>
      </c>
    </row>
    <row r="9" spans="2:8" ht="15" customHeight="1" x14ac:dyDescent="0.3">
      <c r="B9" s="10">
        <v>3</v>
      </c>
      <c r="C9" s="17" t="s">
        <v>46</v>
      </c>
      <c r="D9" s="10" t="s">
        <v>43</v>
      </c>
      <c r="E9" s="18">
        <v>957501</v>
      </c>
      <c r="F9" s="18">
        <v>36901</v>
      </c>
      <c r="G9" s="17" t="s">
        <v>80</v>
      </c>
    </row>
    <row r="10" spans="2:8" ht="15" customHeight="1" x14ac:dyDescent="0.3">
      <c r="B10" s="10">
        <v>4</v>
      </c>
      <c r="C10" s="17" t="s">
        <v>49</v>
      </c>
      <c r="D10" s="10" t="s">
        <v>38</v>
      </c>
      <c r="E10" s="18">
        <v>955788</v>
      </c>
      <c r="F10" s="18">
        <v>36758</v>
      </c>
      <c r="G10" s="17" t="s">
        <v>80</v>
      </c>
    </row>
    <row r="11" spans="2:8" ht="15" customHeight="1" x14ac:dyDescent="0.3">
      <c r="B11" s="10">
        <v>5</v>
      </c>
      <c r="C11" s="17" t="s">
        <v>52</v>
      </c>
      <c r="D11" s="10" t="s">
        <v>38</v>
      </c>
      <c r="E11" s="18">
        <v>955230</v>
      </c>
      <c r="F11" s="18">
        <v>36608</v>
      </c>
      <c r="G11" s="17" t="s">
        <v>80</v>
      </c>
    </row>
    <row r="12" spans="2:8" ht="15" customHeight="1" x14ac:dyDescent="0.3">
      <c r="B12" s="10">
        <v>6</v>
      </c>
      <c r="C12" s="17" t="s">
        <v>54</v>
      </c>
      <c r="D12" s="10" t="s">
        <v>38</v>
      </c>
      <c r="E12" s="18">
        <v>954850</v>
      </c>
      <c r="F12" s="18">
        <v>36545</v>
      </c>
      <c r="G12" s="17" t="s">
        <v>80</v>
      </c>
    </row>
    <row r="13" spans="2:8" ht="15" customHeight="1" x14ac:dyDescent="0.3">
      <c r="B13" s="10">
        <v>7</v>
      </c>
      <c r="C13" s="17" t="s">
        <v>55</v>
      </c>
      <c r="D13" s="10" t="s">
        <v>43</v>
      </c>
      <c r="E13" s="18">
        <v>954332</v>
      </c>
      <c r="F13" s="18">
        <v>36832</v>
      </c>
      <c r="G13" s="17" t="s">
        <v>80</v>
      </c>
    </row>
    <row r="14" spans="2:8" ht="15" customHeight="1" x14ac:dyDescent="0.3">
      <c r="B14" s="10">
        <v>8</v>
      </c>
      <c r="C14" s="17" t="s">
        <v>56</v>
      </c>
      <c r="D14" s="10" t="s">
        <v>40</v>
      </c>
      <c r="E14" s="18">
        <v>954218</v>
      </c>
      <c r="F14" s="18">
        <v>36765</v>
      </c>
      <c r="G14" s="17" t="s">
        <v>80</v>
      </c>
    </row>
    <row r="15" spans="2:8" ht="15" customHeight="1" x14ac:dyDescent="0.3">
      <c r="B15" s="10">
        <v>9</v>
      </c>
      <c r="C15" s="17" t="s">
        <v>50</v>
      </c>
      <c r="D15" s="10" t="s">
        <v>38</v>
      </c>
      <c r="E15" s="18">
        <v>952212</v>
      </c>
      <c r="F15" s="18">
        <v>36570</v>
      </c>
      <c r="G15" s="17" t="s">
        <v>80</v>
      </c>
    </row>
    <row r="16" spans="2:8" ht="15" customHeight="1" x14ac:dyDescent="0.3">
      <c r="B16" s="10">
        <v>10</v>
      </c>
      <c r="C16" s="17" t="s">
        <v>53</v>
      </c>
      <c r="D16" s="10" t="s">
        <v>38</v>
      </c>
      <c r="E16" s="18">
        <v>951660</v>
      </c>
      <c r="F16" s="18">
        <v>36565</v>
      </c>
      <c r="G16" s="17" t="s">
        <v>80</v>
      </c>
    </row>
    <row r="17" spans="2:7" ht="15" customHeight="1" x14ac:dyDescent="0.3">
      <c r="B17" s="10">
        <v>11</v>
      </c>
      <c r="C17" s="17" t="s">
        <v>81</v>
      </c>
      <c r="D17" s="10" t="s">
        <v>82</v>
      </c>
      <c r="E17" s="18">
        <v>950507</v>
      </c>
      <c r="F17" s="18">
        <v>36568</v>
      </c>
      <c r="G17" s="17" t="s">
        <v>83</v>
      </c>
    </row>
    <row r="18" spans="2:7" ht="15" customHeight="1" x14ac:dyDescent="0.3">
      <c r="B18" s="10">
        <v>12</v>
      </c>
      <c r="C18" s="17" t="s">
        <v>44</v>
      </c>
      <c r="D18" s="10" t="s">
        <v>43</v>
      </c>
      <c r="E18" s="18">
        <v>949108</v>
      </c>
      <c r="F18" s="18">
        <v>36523</v>
      </c>
      <c r="G18" s="17" t="s">
        <v>80</v>
      </c>
    </row>
    <row r="19" spans="2:7" ht="15" customHeight="1" x14ac:dyDescent="0.3">
      <c r="B19" s="10">
        <v>13</v>
      </c>
      <c r="C19" s="17" t="s">
        <v>39</v>
      </c>
      <c r="D19" s="10" t="s">
        <v>40</v>
      </c>
      <c r="E19" s="18">
        <v>948647</v>
      </c>
      <c r="F19" s="18">
        <v>36371</v>
      </c>
      <c r="G19" s="17" t="s">
        <v>80</v>
      </c>
    </row>
    <row r="20" spans="2:7" ht="15" customHeight="1" x14ac:dyDescent="0.3">
      <c r="B20" s="10">
        <v>14</v>
      </c>
      <c r="C20" s="17" t="s">
        <v>84</v>
      </c>
      <c r="D20" s="10" t="s">
        <v>38</v>
      </c>
      <c r="E20" s="18">
        <v>948624</v>
      </c>
      <c r="F20" s="18">
        <v>36544</v>
      </c>
      <c r="G20" s="17" t="s">
        <v>80</v>
      </c>
    </row>
    <row r="21" spans="2:7" ht="15" customHeight="1" x14ac:dyDescent="0.3">
      <c r="B21" s="10">
        <v>15</v>
      </c>
      <c r="C21" s="17" t="s">
        <v>85</v>
      </c>
      <c r="D21" s="10" t="s">
        <v>40</v>
      </c>
      <c r="E21" s="18">
        <v>947133</v>
      </c>
      <c r="F21" s="18">
        <v>36406</v>
      </c>
      <c r="G21" s="17" t="s">
        <v>80</v>
      </c>
    </row>
    <row r="23" spans="2:7" ht="15" customHeight="1" x14ac:dyDescent="0.3">
      <c r="B23" s="2" t="s">
        <v>86</v>
      </c>
      <c r="C23" s="2"/>
      <c r="D23" s="2"/>
      <c r="E23" s="2"/>
      <c r="F23" s="2"/>
      <c r="G23" s="2"/>
    </row>
    <row r="24" spans="2:7" ht="15" customHeight="1" x14ac:dyDescent="0.3">
      <c r="B24" s="8" t="s">
        <v>32</v>
      </c>
      <c r="C24" s="8" t="s">
        <v>33</v>
      </c>
      <c r="D24" s="8" t="s">
        <v>34</v>
      </c>
      <c r="E24" s="8" t="s">
        <v>35</v>
      </c>
      <c r="F24" s="8" t="s">
        <v>87</v>
      </c>
      <c r="G24" s="8" t="s">
        <v>36</v>
      </c>
    </row>
    <row r="25" spans="2:7" ht="15" customHeight="1" x14ac:dyDescent="0.3">
      <c r="B25" s="17" t="s">
        <v>39</v>
      </c>
      <c r="C25" s="10" t="s">
        <v>40</v>
      </c>
      <c r="D25" s="10">
        <v>32</v>
      </c>
      <c r="E25" s="18">
        <v>2442</v>
      </c>
      <c r="F25" s="19">
        <v>76.3</v>
      </c>
      <c r="G25" s="17" t="s">
        <v>41</v>
      </c>
    </row>
    <row r="26" spans="2:7" ht="15" customHeight="1" x14ac:dyDescent="0.3">
      <c r="B26" s="17" t="s">
        <v>44</v>
      </c>
      <c r="C26" s="10" t="s">
        <v>43</v>
      </c>
      <c r="D26" s="10">
        <v>27</v>
      </c>
      <c r="E26" s="18">
        <v>2372</v>
      </c>
      <c r="F26" s="19">
        <v>87.9</v>
      </c>
      <c r="G26" s="17" t="s">
        <v>45</v>
      </c>
    </row>
    <row r="27" spans="2:7" ht="15" customHeight="1" x14ac:dyDescent="0.3">
      <c r="B27" s="17" t="s">
        <v>47</v>
      </c>
      <c r="C27" s="10" t="s">
        <v>40</v>
      </c>
      <c r="D27" s="10">
        <v>26</v>
      </c>
      <c r="E27" s="18">
        <v>2239</v>
      </c>
      <c r="F27" s="19">
        <v>86.1</v>
      </c>
      <c r="G27" s="17" t="s">
        <v>48</v>
      </c>
    </row>
    <row r="28" spans="2:7" ht="15" customHeight="1" x14ac:dyDescent="0.3">
      <c r="B28" s="17" t="s">
        <v>50</v>
      </c>
      <c r="C28" s="10" t="s">
        <v>38</v>
      </c>
      <c r="D28" s="10">
        <v>25</v>
      </c>
      <c r="E28" s="18">
        <v>1884</v>
      </c>
      <c r="F28" s="19">
        <v>75.400000000000006</v>
      </c>
      <c r="G28" s="17" t="s">
        <v>51</v>
      </c>
    </row>
    <row r="29" spans="2:7" ht="15" customHeight="1" x14ac:dyDescent="0.3">
      <c r="B29" s="17" t="s">
        <v>53</v>
      </c>
      <c r="C29" s="10" t="s">
        <v>38</v>
      </c>
      <c r="D29" s="10">
        <v>27</v>
      </c>
      <c r="E29" s="18">
        <v>1878</v>
      </c>
      <c r="F29" s="19">
        <v>69.599999999999994</v>
      </c>
      <c r="G29" s="17" t="s">
        <v>51</v>
      </c>
    </row>
    <row r="30" spans="2:7" ht="15" customHeight="1" x14ac:dyDescent="0.3">
      <c r="B30" s="17" t="s">
        <v>88</v>
      </c>
      <c r="C30" s="10" t="s">
        <v>40</v>
      </c>
      <c r="D30" s="10">
        <v>23</v>
      </c>
      <c r="E30" s="18">
        <v>1836</v>
      </c>
      <c r="F30" s="19">
        <v>79.8</v>
      </c>
      <c r="G30" s="17" t="s">
        <v>41</v>
      </c>
    </row>
    <row r="31" spans="2:7" ht="15" customHeight="1" x14ac:dyDescent="0.3">
      <c r="B31" s="17" t="s">
        <v>42</v>
      </c>
      <c r="C31" s="10" t="s">
        <v>43</v>
      </c>
      <c r="D31" s="10">
        <v>25</v>
      </c>
      <c r="E31" s="18">
        <v>1790</v>
      </c>
      <c r="F31" s="19">
        <v>71.599999999999994</v>
      </c>
      <c r="G31" s="17" t="s">
        <v>51</v>
      </c>
    </row>
    <row r="32" spans="2:7" ht="15" customHeight="1" x14ac:dyDescent="0.3">
      <c r="B32" s="17" t="s">
        <v>89</v>
      </c>
      <c r="C32" s="10" t="s">
        <v>82</v>
      </c>
      <c r="D32" s="10">
        <v>26</v>
      </c>
      <c r="E32" s="18">
        <v>1634</v>
      </c>
      <c r="F32" s="19">
        <v>62.8</v>
      </c>
      <c r="G32" s="17" t="s">
        <v>90</v>
      </c>
    </row>
    <row r="33" spans="2:7" ht="15" customHeight="1" x14ac:dyDescent="0.3">
      <c r="B33" s="17" t="s">
        <v>37</v>
      </c>
      <c r="C33" s="10" t="s">
        <v>38</v>
      </c>
      <c r="D33" s="10">
        <v>26</v>
      </c>
      <c r="E33" s="18">
        <v>1596</v>
      </c>
      <c r="F33" s="19">
        <v>61.4</v>
      </c>
      <c r="G33" s="17" t="s">
        <v>41</v>
      </c>
    </row>
    <row r="34" spans="2:7" ht="15" customHeight="1" x14ac:dyDescent="0.3">
      <c r="B34" s="17" t="s">
        <v>81</v>
      </c>
      <c r="C34" s="10" t="s">
        <v>82</v>
      </c>
      <c r="D34" s="10">
        <v>23</v>
      </c>
      <c r="E34" s="18">
        <v>1551</v>
      </c>
      <c r="F34" s="19">
        <v>67.400000000000006</v>
      </c>
      <c r="G34" s="17" t="s">
        <v>90</v>
      </c>
    </row>
  </sheetData>
  <mergeCells count="4">
    <mergeCell ref="B2:H2"/>
    <mergeCell ref="B3:H3"/>
    <mergeCell ref="B5:G5"/>
    <mergeCell ref="B23:G2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G18"/>
  <sheetViews>
    <sheetView showGridLines="0" zoomScaleNormal="100" workbookViewId="0"/>
  </sheetViews>
  <sheetFormatPr defaultColWidth="8.6640625" defaultRowHeight="14.4" x14ac:dyDescent="0.3"/>
  <cols>
    <col min="1" max="1" width="2" customWidth="1"/>
    <col min="2" max="2" width="16" customWidth="1"/>
    <col min="3" max="3" width="20" customWidth="1"/>
    <col min="4" max="4" width="18" customWidth="1"/>
    <col min="5" max="6" width="14" customWidth="1"/>
  </cols>
  <sheetData>
    <row r="2" spans="2:7" ht="19.5" customHeight="1" x14ac:dyDescent="0.4">
      <c r="B2" s="7" t="s">
        <v>91</v>
      </c>
      <c r="C2" s="7"/>
      <c r="D2" s="7"/>
      <c r="E2" s="7"/>
      <c r="F2" s="7"/>
      <c r="G2" s="7"/>
    </row>
    <row r="3" spans="2:7" ht="15" customHeight="1" x14ac:dyDescent="0.3">
      <c r="B3" s="6" t="s">
        <v>92</v>
      </c>
      <c r="C3" s="6"/>
      <c r="D3" s="6"/>
      <c r="E3" s="6"/>
      <c r="F3" s="6"/>
      <c r="G3" s="6"/>
    </row>
    <row r="5" spans="2:7" ht="15" customHeight="1" x14ac:dyDescent="0.3">
      <c r="B5" s="8" t="s">
        <v>93</v>
      </c>
      <c r="C5" s="8" t="s">
        <v>94</v>
      </c>
      <c r="D5" s="8" t="s">
        <v>10</v>
      </c>
      <c r="E5" s="8" t="s">
        <v>4</v>
      </c>
      <c r="F5" s="8" t="s">
        <v>95</v>
      </c>
    </row>
    <row r="6" spans="2:7" ht="15" customHeight="1" x14ac:dyDescent="0.3">
      <c r="B6" s="17" t="s">
        <v>96</v>
      </c>
      <c r="C6" s="11">
        <v>239015</v>
      </c>
      <c r="D6" s="12">
        <v>26.28</v>
      </c>
      <c r="E6" s="11">
        <v>67563</v>
      </c>
      <c r="F6" s="20">
        <v>39.4</v>
      </c>
    </row>
    <row r="7" spans="2:7" ht="15" customHeight="1" x14ac:dyDescent="0.3">
      <c r="B7" s="17" t="s">
        <v>97</v>
      </c>
      <c r="C7" s="11">
        <v>210091</v>
      </c>
      <c r="D7" s="12">
        <v>25.87</v>
      </c>
      <c r="E7" s="11">
        <v>236941</v>
      </c>
      <c r="F7" s="20">
        <v>27.1</v>
      </c>
    </row>
    <row r="8" spans="2:7" ht="15" customHeight="1" x14ac:dyDescent="0.3">
      <c r="B8" s="17" t="s">
        <v>98</v>
      </c>
      <c r="C8" s="11">
        <v>140865</v>
      </c>
      <c r="D8" s="12">
        <v>25.83</v>
      </c>
      <c r="E8" s="11">
        <v>40491</v>
      </c>
      <c r="F8" s="20">
        <v>39.4</v>
      </c>
    </row>
    <row r="9" spans="2:7" ht="15" customHeight="1" x14ac:dyDescent="0.3">
      <c r="B9" s="17" t="s">
        <v>99</v>
      </c>
      <c r="C9" s="11">
        <v>124363</v>
      </c>
      <c r="D9" s="12">
        <v>25.45</v>
      </c>
      <c r="E9" s="11">
        <v>141433</v>
      </c>
      <c r="F9" s="20">
        <v>27.3</v>
      </c>
    </row>
    <row r="10" spans="2:7" ht="15" customHeight="1" x14ac:dyDescent="0.3">
      <c r="B10" s="17" t="s">
        <v>100</v>
      </c>
      <c r="C10" s="11">
        <v>124132</v>
      </c>
      <c r="D10" s="12">
        <v>26.51</v>
      </c>
      <c r="E10" s="11">
        <v>34498</v>
      </c>
      <c r="F10" s="20">
        <v>12.2</v>
      </c>
    </row>
    <row r="11" spans="2:7" ht="15" customHeight="1" x14ac:dyDescent="0.3">
      <c r="B11" s="17" t="s">
        <v>101</v>
      </c>
      <c r="C11" s="11">
        <v>120060</v>
      </c>
      <c r="D11" s="12">
        <v>27.31</v>
      </c>
      <c r="E11" s="11">
        <v>30617</v>
      </c>
      <c r="F11" s="20">
        <v>22.7</v>
      </c>
    </row>
    <row r="12" spans="2:7" ht="15" customHeight="1" x14ac:dyDescent="0.3">
      <c r="B12" s="17" t="s">
        <v>102</v>
      </c>
      <c r="C12" s="11">
        <v>114574</v>
      </c>
      <c r="D12" s="12">
        <v>28.09</v>
      </c>
      <c r="E12" s="11">
        <v>28365</v>
      </c>
      <c r="F12" s="20">
        <v>22.7</v>
      </c>
    </row>
    <row r="13" spans="2:7" ht="15" customHeight="1" x14ac:dyDescent="0.3">
      <c r="B13" s="17" t="s">
        <v>103</v>
      </c>
      <c r="C13" s="11">
        <v>103154</v>
      </c>
      <c r="D13" s="12">
        <v>25.58</v>
      </c>
      <c r="E13" s="11">
        <v>112160</v>
      </c>
      <c r="F13" s="20">
        <v>27.5</v>
      </c>
    </row>
    <row r="14" spans="2:7" ht="15" customHeight="1" x14ac:dyDescent="0.3">
      <c r="B14" s="17" t="s">
        <v>104</v>
      </c>
      <c r="C14" s="11">
        <v>91975</v>
      </c>
      <c r="D14" s="12">
        <v>25.55</v>
      </c>
      <c r="E14" s="11">
        <v>26184</v>
      </c>
      <c r="F14" s="20">
        <v>39.5</v>
      </c>
    </row>
    <row r="15" spans="2:7" ht="15" customHeight="1" x14ac:dyDescent="0.3">
      <c r="B15" s="17" t="s">
        <v>105</v>
      </c>
      <c r="C15" s="11">
        <v>90301</v>
      </c>
      <c r="D15" s="12">
        <v>27.95</v>
      </c>
      <c r="E15" s="11">
        <v>23289</v>
      </c>
      <c r="F15" s="20">
        <v>22.8</v>
      </c>
    </row>
    <row r="16" spans="2:7" ht="15" customHeight="1" x14ac:dyDescent="0.3">
      <c r="B16" s="17" t="s">
        <v>106</v>
      </c>
      <c r="C16" s="11">
        <v>85460</v>
      </c>
      <c r="D16" s="12">
        <v>25.36</v>
      </c>
      <c r="E16" s="11">
        <v>87345</v>
      </c>
      <c r="F16" s="20">
        <v>27</v>
      </c>
    </row>
    <row r="17" spans="2:6" ht="15" customHeight="1" x14ac:dyDescent="0.3">
      <c r="B17" s="17" t="s">
        <v>107</v>
      </c>
      <c r="C17" s="11">
        <v>72161</v>
      </c>
      <c r="D17" s="12">
        <v>25.6</v>
      </c>
      <c r="E17" s="11">
        <v>20254</v>
      </c>
      <c r="F17" s="20">
        <v>12</v>
      </c>
    </row>
    <row r="18" spans="2:6" ht="15" customHeight="1" x14ac:dyDescent="0.3">
      <c r="B18" s="17" t="s">
        <v>108</v>
      </c>
      <c r="C18" s="11">
        <v>55632</v>
      </c>
      <c r="D18" s="12">
        <v>26.64</v>
      </c>
      <c r="E18" s="11">
        <v>13433</v>
      </c>
      <c r="F18" s="20">
        <v>11.6</v>
      </c>
    </row>
  </sheetData>
  <mergeCells count="2">
    <mergeCell ref="B2:G2"/>
    <mergeCell ref="B3:G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3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13" customWidth="1"/>
    <col min="3" max="3" width="18" customWidth="1"/>
    <col min="4" max="4" width="19" customWidth="1"/>
    <col min="5" max="5" width="18" customWidth="1"/>
    <col min="6" max="6" width="25" customWidth="1"/>
    <col min="7" max="7" width="22" customWidth="1"/>
    <col min="8" max="8" width="21" customWidth="1"/>
  </cols>
  <sheetData>
    <row r="1" spans="1:8" ht="15" customHeight="1" x14ac:dyDescent="0.3">
      <c r="A1" s="8" t="s">
        <v>109</v>
      </c>
      <c r="B1" s="8" t="s">
        <v>110</v>
      </c>
      <c r="C1" s="8" t="s">
        <v>111</v>
      </c>
      <c r="D1" s="8" t="s">
        <v>112</v>
      </c>
      <c r="E1" s="8" t="s">
        <v>113</v>
      </c>
      <c r="F1" s="8" t="s">
        <v>114</v>
      </c>
      <c r="G1" s="8" t="s">
        <v>115</v>
      </c>
      <c r="H1" s="8" t="s">
        <v>116</v>
      </c>
    </row>
    <row r="2" spans="1:8" ht="15" customHeight="1" x14ac:dyDescent="0.3">
      <c r="A2">
        <v>1</v>
      </c>
      <c r="B2">
        <v>68955</v>
      </c>
      <c r="C2">
        <v>1793788</v>
      </c>
      <c r="D2">
        <v>22190476</v>
      </c>
      <c r="E2">
        <v>12.3707350032445</v>
      </c>
      <c r="F2">
        <v>26.013893118700601</v>
      </c>
      <c r="G2">
        <v>67</v>
      </c>
      <c r="H2">
        <v>3711</v>
      </c>
    </row>
    <row r="3" spans="1:8" ht="15" customHeight="1" x14ac:dyDescent="0.3">
      <c r="A3">
        <v>2</v>
      </c>
      <c r="B3">
        <v>72226</v>
      </c>
      <c r="C3">
        <v>1874851</v>
      </c>
      <c r="D3">
        <v>23177882</v>
      </c>
      <c r="E3">
        <v>12.3625194748809</v>
      </c>
      <c r="F3">
        <v>25.9581175753884</v>
      </c>
      <c r="G3">
        <v>65</v>
      </c>
      <c r="H3">
        <v>5412</v>
      </c>
    </row>
    <row r="4" spans="1:8" ht="15" customHeight="1" x14ac:dyDescent="0.3">
      <c r="A4">
        <v>3</v>
      </c>
      <c r="B4">
        <v>77743</v>
      </c>
      <c r="C4">
        <v>2018275</v>
      </c>
      <c r="D4">
        <v>24949787</v>
      </c>
      <c r="E4">
        <v>12.361936306994799</v>
      </c>
      <c r="F4">
        <v>25.9608582123149</v>
      </c>
      <c r="G4">
        <v>76</v>
      </c>
      <c r="H4">
        <v>5120</v>
      </c>
    </row>
    <row r="5" spans="1:8" ht="15" customHeight="1" x14ac:dyDescent="0.3">
      <c r="A5">
        <v>4</v>
      </c>
      <c r="B5">
        <v>69561</v>
      </c>
      <c r="C5">
        <v>1809523</v>
      </c>
      <c r="D5">
        <v>22414174</v>
      </c>
      <c r="E5">
        <v>12.386785909877901</v>
      </c>
      <c r="F5">
        <v>26.0134701916304</v>
      </c>
      <c r="G5">
        <v>61</v>
      </c>
      <c r="H5">
        <v>4019</v>
      </c>
    </row>
    <row r="6" spans="1:8" ht="15" customHeight="1" x14ac:dyDescent="0.3">
      <c r="A6">
        <v>5</v>
      </c>
      <c r="B6">
        <v>74879</v>
      </c>
      <c r="C6">
        <v>1960043</v>
      </c>
      <c r="D6">
        <v>24274978</v>
      </c>
      <c r="E6">
        <v>12.384921147138099</v>
      </c>
      <c r="F6">
        <v>26.176137501836301</v>
      </c>
      <c r="G6">
        <v>59</v>
      </c>
      <c r="H6">
        <v>4251</v>
      </c>
    </row>
    <row r="7" spans="1:8" ht="15" customHeight="1" x14ac:dyDescent="0.3">
      <c r="A7">
        <v>6</v>
      </c>
      <c r="B7">
        <v>59029</v>
      </c>
      <c r="C7">
        <v>1527033</v>
      </c>
      <c r="D7">
        <v>18909731</v>
      </c>
      <c r="E7">
        <v>12.3833152263245</v>
      </c>
      <c r="F7">
        <v>25.869199884802399</v>
      </c>
      <c r="G7">
        <v>66</v>
      </c>
      <c r="H7">
        <v>4627</v>
      </c>
    </row>
    <row r="8" spans="1:8" ht="15" customHeight="1" x14ac:dyDescent="0.3">
      <c r="A8">
        <v>7</v>
      </c>
      <c r="B8">
        <v>64613</v>
      </c>
      <c r="C8">
        <v>1682743</v>
      </c>
      <c r="D8">
        <v>20827923</v>
      </c>
      <c r="E8">
        <v>12.3773642202048</v>
      </c>
      <c r="F8">
        <v>26.043412316406901</v>
      </c>
      <c r="G8">
        <v>61</v>
      </c>
      <c r="H8">
        <v>3793</v>
      </c>
    </row>
    <row r="9" spans="1:8" ht="15" customHeight="1" x14ac:dyDescent="0.3">
      <c r="A9">
        <v>8</v>
      </c>
      <c r="B9">
        <v>67777</v>
      </c>
      <c r="C9">
        <v>1749123</v>
      </c>
      <c r="D9">
        <v>21649238</v>
      </c>
      <c r="E9">
        <v>12.377195886167</v>
      </c>
      <c r="F9">
        <v>25.8070289331189</v>
      </c>
      <c r="G9">
        <v>77</v>
      </c>
      <c r="H9">
        <v>5404</v>
      </c>
    </row>
    <row r="10" spans="1:8" ht="15" customHeight="1" x14ac:dyDescent="0.3">
      <c r="A10">
        <v>9</v>
      </c>
      <c r="B10">
        <v>70562</v>
      </c>
      <c r="C10">
        <v>1829675</v>
      </c>
      <c r="D10">
        <v>22674288</v>
      </c>
      <c r="E10">
        <v>12.392522169237701</v>
      </c>
      <c r="F10">
        <v>25.930033162325302</v>
      </c>
      <c r="G10">
        <v>70</v>
      </c>
      <c r="H10">
        <v>3006</v>
      </c>
    </row>
    <row r="11" spans="1:8" ht="15" customHeight="1" x14ac:dyDescent="0.3">
      <c r="A11">
        <v>10</v>
      </c>
      <c r="B11">
        <v>80963</v>
      </c>
      <c r="C11">
        <v>2103566</v>
      </c>
      <c r="D11">
        <v>25985158</v>
      </c>
      <c r="E11">
        <v>12.352908347064</v>
      </c>
      <c r="F11">
        <v>25.981818855526601</v>
      </c>
      <c r="G11">
        <v>58</v>
      </c>
      <c r="H11">
        <v>3668</v>
      </c>
    </row>
    <row r="12" spans="1:8" ht="15" customHeight="1" x14ac:dyDescent="0.3">
      <c r="A12">
        <v>11</v>
      </c>
      <c r="B12">
        <v>76002</v>
      </c>
      <c r="C12">
        <v>1953486</v>
      </c>
      <c r="D12">
        <v>24168063</v>
      </c>
      <c r="E12">
        <v>12.3717615585676</v>
      </c>
      <c r="F12">
        <v>25.703086760874701</v>
      </c>
      <c r="G12">
        <v>72</v>
      </c>
      <c r="H12">
        <v>5276</v>
      </c>
    </row>
    <row r="13" spans="1:8" ht="15" customHeight="1" x14ac:dyDescent="0.3">
      <c r="A13">
        <v>12</v>
      </c>
      <c r="B13">
        <v>80263</v>
      </c>
      <c r="C13">
        <v>2076746</v>
      </c>
      <c r="D13">
        <v>25671784</v>
      </c>
      <c r="E13">
        <v>12.361542528551899</v>
      </c>
      <c r="F13">
        <v>25.874263359206601</v>
      </c>
      <c r="G13">
        <v>68</v>
      </c>
      <c r="H13">
        <v>3904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81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16" customWidth="1"/>
    <col min="3" max="3" width="12" customWidth="1"/>
    <col min="4" max="4" width="16" customWidth="1"/>
    <col min="5" max="5" width="12" customWidth="1"/>
    <col min="6" max="6" width="18" customWidth="1"/>
    <col min="7" max="7" width="13" customWidth="1"/>
    <col min="8" max="8" width="14" customWidth="1"/>
    <col min="9" max="11" width="12" customWidth="1"/>
    <col min="12" max="12" width="13" customWidth="1"/>
    <col min="13" max="13" width="18" customWidth="1"/>
  </cols>
  <sheetData>
    <row r="1" spans="1:13" ht="15" customHeight="1" x14ac:dyDescent="0.3">
      <c r="A1" s="8" t="s">
        <v>117</v>
      </c>
      <c r="B1" s="8" t="s">
        <v>118</v>
      </c>
      <c r="C1" s="8" t="s">
        <v>119</v>
      </c>
      <c r="D1" s="8" t="s">
        <v>120</v>
      </c>
      <c r="E1" s="8" t="s">
        <v>121</v>
      </c>
      <c r="F1" s="8" t="s">
        <v>111</v>
      </c>
      <c r="G1" s="8" t="s">
        <v>110</v>
      </c>
      <c r="H1" s="8" t="s">
        <v>122</v>
      </c>
      <c r="I1" s="8" t="s">
        <v>123</v>
      </c>
      <c r="J1" s="8" t="s">
        <v>124</v>
      </c>
      <c r="K1" s="8" t="s">
        <v>125</v>
      </c>
      <c r="L1" s="8" t="s">
        <v>126</v>
      </c>
      <c r="M1" s="8" t="s">
        <v>127</v>
      </c>
    </row>
    <row r="2" spans="1:13" ht="15" customHeight="1" x14ac:dyDescent="0.3">
      <c r="A2">
        <v>64</v>
      </c>
      <c r="B2">
        <v>686899</v>
      </c>
      <c r="C2">
        <v>26239</v>
      </c>
      <c r="D2">
        <v>278055</v>
      </c>
      <c r="E2">
        <v>10767</v>
      </c>
      <c r="F2">
        <v>964954</v>
      </c>
      <c r="G2">
        <v>37006</v>
      </c>
      <c r="H2" t="s">
        <v>37</v>
      </c>
      <c r="I2" t="s">
        <v>38</v>
      </c>
      <c r="J2">
        <v>30.064399999999999</v>
      </c>
      <c r="K2">
        <v>31.265000000000001</v>
      </c>
      <c r="L2" t="b">
        <f>FALSE()</f>
        <v>0</v>
      </c>
      <c r="M2" t="s">
        <v>128</v>
      </c>
    </row>
    <row r="3" spans="1:13" ht="15" customHeight="1" x14ac:dyDescent="0.3">
      <c r="A3">
        <v>40</v>
      </c>
      <c r="B3">
        <v>682722</v>
      </c>
      <c r="C3">
        <v>26307</v>
      </c>
      <c r="D3">
        <v>276696</v>
      </c>
      <c r="E3">
        <v>10579</v>
      </c>
      <c r="F3">
        <v>959418</v>
      </c>
      <c r="G3">
        <v>36886</v>
      </c>
      <c r="H3" t="s">
        <v>42</v>
      </c>
      <c r="I3" t="s">
        <v>43</v>
      </c>
      <c r="J3">
        <v>30.038599999999999</v>
      </c>
      <c r="K3">
        <v>31.21</v>
      </c>
      <c r="L3" t="b">
        <f>FALSE()</f>
        <v>0</v>
      </c>
      <c r="M3" t="s">
        <v>128</v>
      </c>
    </row>
    <row r="4" spans="1:13" ht="15" customHeight="1" x14ac:dyDescent="0.3">
      <c r="A4">
        <v>33</v>
      </c>
      <c r="B4">
        <v>683207</v>
      </c>
      <c r="C4">
        <v>26167</v>
      </c>
      <c r="D4">
        <v>274294</v>
      </c>
      <c r="E4">
        <v>10734</v>
      </c>
      <c r="F4">
        <v>957501</v>
      </c>
      <c r="G4">
        <v>36901</v>
      </c>
      <c r="H4" t="s">
        <v>46</v>
      </c>
      <c r="I4" t="s">
        <v>43</v>
      </c>
      <c r="J4">
        <v>29.981100000000001</v>
      </c>
      <c r="K4">
        <v>31.2117</v>
      </c>
      <c r="L4" t="b">
        <f>FALSE()</f>
        <v>0</v>
      </c>
      <c r="M4" t="s">
        <v>128</v>
      </c>
    </row>
    <row r="5" spans="1:13" ht="15" customHeight="1" x14ac:dyDescent="0.3">
      <c r="A5">
        <v>70</v>
      </c>
      <c r="B5">
        <v>681854</v>
      </c>
      <c r="C5">
        <v>26162</v>
      </c>
      <c r="D5">
        <v>273934</v>
      </c>
      <c r="E5">
        <v>10596</v>
      </c>
      <c r="F5">
        <v>955788</v>
      </c>
      <c r="G5">
        <v>36758</v>
      </c>
      <c r="H5" t="s">
        <v>49</v>
      </c>
      <c r="I5" t="s">
        <v>38</v>
      </c>
      <c r="J5">
        <v>30.045000000000002</v>
      </c>
      <c r="K5">
        <v>31.22</v>
      </c>
      <c r="L5" t="b">
        <f>FALSE()</f>
        <v>0</v>
      </c>
      <c r="M5" t="s">
        <v>128</v>
      </c>
    </row>
    <row r="6" spans="1:13" ht="15" customHeight="1" x14ac:dyDescent="0.3">
      <c r="A6">
        <v>67</v>
      </c>
      <c r="B6">
        <v>681197</v>
      </c>
      <c r="C6">
        <v>26084</v>
      </c>
      <c r="D6">
        <v>274033</v>
      </c>
      <c r="E6">
        <v>10524</v>
      </c>
      <c r="F6">
        <v>955230</v>
      </c>
      <c r="G6">
        <v>36608</v>
      </c>
      <c r="H6" t="s">
        <v>52</v>
      </c>
      <c r="I6" t="s">
        <v>38</v>
      </c>
      <c r="J6">
        <v>30.053899999999999</v>
      </c>
      <c r="K6">
        <v>31.247800000000002</v>
      </c>
      <c r="L6" t="b">
        <f>FALSE()</f>
        <v>0</v>
      </c>
      <c r="M6" t="s">
        <v>128</v>
      </c>
    </row>
    <row r="7" spans="1:13" ht="15" customHeight="1" x14ac:dyDescent="0.3">
      <c r="A7">
        <v>72</v>
      </c>
      <c r="B7">
        <v>680976</v>
      </c>
      <c r="C7">
        <v>26065</v>
      </c>
      <c r="D7">
        <v>273874</v>
      </c>
      <c r="E7">
        <v>10480</v>
      </c>
      <c r="F7">
        <v>954850</v>
      </c>
      <c r="G7">
        <v>36545</v>
      </c>
      <c r="H7" t="s">
        <v>54</v>
      </c>
      <c r="I7" t="s">
        <v>38</v>
      </c>
      <c r="J7">
        <v>30.039400000000001</v>
      </c>
      <c r="K7">
        <v>31.207799999999999</v>
      </c>
      <c r="L7" t="b">
        <f>FALSE()</f>
        <v>0</v>
      </c>
      <c r="M7" t="s">
        <v>128</v>
      </c>
    </row>
    <row r="8" spans="1:13" ht="15" customHeight="1" x14ac:dyDescent="0.3">
      <c r="A8">
        <v>44</v>
      </c>
      <c r="B8">
        <v>678586</v>
      </c>
      <c r="C8">
        <v>26114</v>
      </c>
      <c r="D8">
        <v>275746</v>
      </c>
      <c r="E8">
        <v>10718</v>
      </c>
      <c r="F8">
        <v>954332</v>
      </c>
      <c r="G8">
        <v>36832</v>
      </c>
      <c r="H8" t="s">
        <v>55</v>
      </c>
      <c r="I8" t="s">
        <v>43</v>
      </c>
      <c r="J8">
        <v>30.0806</v>
      </c>
      <c r="K8">
        <v>31.234400000000001</v>
      </c>
      <c r="L8" t="b">
        <f>FALSE()</f>
        <v>0</v>
      </c>
      <c r="M8" t="s">
        <v>128</v>
      </c>
    </row>
    <row r="9" spans="1:13" ht="15" customHeight="1" x14ac:dyDescent="0.3">
      <c r="A9">
        <v>3</v>
      </c>
      <c r="B9">
        <v>684985</v>
      </c>
      <c r="C9">
        <v>26244</v>
      </c>
      <c r="D9">
        <v>269233</v>
      </c>
      <c r="E9">
        <v>10521</v>
      </c>
      <c r="F9">
        <v>954218</v>
      </c>
      <c r="G9">
        <v>36765</v>
      </c>
      <c r="H9" t="s">
        <v>56</v>
      </c>
      <c r="I9" t="s">
        <v>40</v>
      </c>
      <c r="J9">
        <v>29.869700000000002</v>
      </c>
      <c r="K9">
        <v>31.319400000000002</v>
      </c>
      <c r="L9" t="b">
        <f>FALSE()</f>
        <v>0</v>
      </c>
      <c r="M9" t="s">
        <v>128</v>
      </c>
    </row>
    <row r="10" spans="1:13" ht="15" customHeight="1" x14ac:dyDescent="0.3">
      <c r="A10">
        <v>68</v>
      </c>
      <c r="B10">
        <v>670849</v>
      </c>
      <c r="C10">
        <v>25849</v>
      </c>
      <c r="D10">
        <v>281363</v>
      </c>
      <c r="E10">
        <v>10721</v>
      </c>
      <c r="F10">
        <v>952212</v>
      </c>
      <c r="G10">
        <v>36570</v>
      </c>
      <c r="H10" t="s">
        <v>50</v>
      </c>
      <c r="I10" t="s">
        <v>38</v>
      </c>
      <c r="J10">
        <v>30.050599999999999</v>
      </c>
      <c r="K10">
        <v>31.232199999999999</v>
      </c>
      <c r="L10" t="b">
        <f>FALSE()</f>
        <v>0</v>
      </c>
      <c r="M10" t="s">
        <v>128</v>
      </c>
    </row>
    <row r="11" spans="1:13" ht="15" customHeight="1" x14ac:dyDescent="0.3">
      <c r="A11">
        <v>58</v>
      </c>
      <c r="B11">
        <v>673754</v>
      </c>
      <c r="C11">
        <v>25831</v>
      </c>
      <c r="D11">
        <v>277906</v>
      </c>
      <c r="E11">
        <v>10734</v>
      </c>
      <c r="F11">
        <v>951660</v>
      </c>
      <c r="G11">
        <v>36565</v>
      </c>
      <c r="H11" t="s">
        <v>53</v>
      </c>
      <c r="I11" t="s">
        <v>38</v>
      </c>
      <c r="J11">
        <v>30.0944</v>
      </c>
      <c r="K11">
        <v>31.305800000000001</v>
      </c>
      <c r="L11" t="b">
        <f>FALSE()</f>
        <v>0</v>
      </c>
      <c r="M11" t="s">
        <v>128</v>
      </c>
    </row>
    <row r="12" spans="1:13" ht="15" customHeight="1" x14ac:dyDescent="0.3">
      <c r="A12">
        <v>77</v>
      </c>
      <c r="B12">
        <v>669973</v>
      </c>
      <c r="C12">
        <v>25856</v>
      </c>
      <c r="D12">
        <v>280534</v>
      </c>
      <c r="E12">
        <v>10712</v>
      </c>
      <c r="F12">
        <v>950507</v>
      </c>
      <c r="G12">
        <v>36568</v>
      </c>
      <c r="H12" t="s">
        <v>81</v>
      </c>
      <c r="I12" t="s">
        <v>82</v>
      </c>
      <c r="J12">
        <v>30.0444</v>
      </c>
      <c r="K12">
        <v>31.234400000000001</v>
      </c>
      <c r="L12" t="b">
        <f>TRUE()</f>
        <v>1</v>
      </c>
      <c r="M12" t="s">
        <v>129</v>
      </c>
    </row>
    <row r="13" spans="1:13" ht="15" customHeight="1" x14ac:dyDescent="0.3">
      <c r="A13">
        <v>38</v>
      </c>
      <c r="B13">
        <v>669980</v>
      </c>
      <c r="C13">
        <v>25770</v>
      </c>
      <c r="D13">
        <v>279128</v>
      </c>
      <c r="E13">
        <v>10753</v>
      </c>
      <c r="F13">
        <v>949108</v>
      </c>
      <c r="G13">
        <v>36523</v>
      </c>
      <c r="H13" t="s">
        <v>44</v>
      </c>
      <c r="I13" t="s">
        <v>43</v>
      </c>
      <c r="J13">
        <v>30.025600000000001</v>
      </c>
      <c r="K13">
        <v>31.208300000000001</v>
      </c>
      <c r="L13" t="b">
        <f>FALSE()</f>
        <v>0</v>
      </c>
      <c r="M13" t="s">
        <v>128</v>
      </c>
    </row>
    <row r="14" spans="1:13" ht="15" customHeight="1" x14ac:dyDescent="0.3">
      <c r="A14">
        <v>18</v>
      </c>
      <c r="B14">
        <v>673223</v>
      </c>
      <c r="C14">
        <v>25922</v>
      </c>
      <c r="D14">
        <v>275424</v>
      </c>
      <c r="E14">
        <v>10449</v>
      </c>
      <c r="F14">
        <v>948647</v>
      </c>
      <c r="G14">
        <v>36371</v>
      </c>
      <c r="H14" t="s">
        <v>39</v>
      </c>
      <c r="I14" t="s">
        <v>40</v>
      </c>
      <c r="J14">
        <v>30.037199999999999</v>
      </c>
      <c r="K14">
        <v>31.238099999999999</v>
      </c>
      <c r="L14" t="b">
        <f>FALSE()</f>
        <v>0</v>
      </c>
      <c r="M14" t="s">
        <v>128</v>
      </c>
    </row>
    <row r="15" spans="1:13" ht="15" customHeight="1" x14ac:dyDescent="0.3">
      <c r="A15">
        <v>50</v>
      </c>
      <c r="B15">
        <v>672517</v>
      </c>
      <c r="C15">
        <v>25970</v>
      </c>
      <c r="D15">
        <v>276107</v>
      </c>
      <c r="E15">
        <v>10574</v>
      </c>
      <c r="F15">
        <v>948624</v>
      </c>
      <c r="G15">
        <v>36544</v>
      </c>
      <c r="H15" t="s">
        <v>84</v>
      </c>
      <c r="I15" t="s">
        <v>38</v>
      </c>
      <c r="J15">
        <v>30.147200000000002</v>
      </c>
      <c r="K15">
        <v>31.421399999999998</v>
      </c>
      <c r="L15" t="b">
        <f>FALSE()</f>
        <v>0</v>
      </c>
      <c r="M15" t="s">
        <v>128</v>
      </c>
    </row>
    <row r="16" spans="1:13" ht="15" customHeight="1" x14ac:dyDescent="0.3">
      <c r="A16">
        <v>16</v>
      </c>
      <c r="B16">
        <v>669015</v>
      </c>
      <c r="C16">
        <v>25797</v>
      </c>
      <c r="D16">
        <v>278118</v>
      </c>
      <c r="E16">
        <v>10609</v>
      </c>
      <c r="F16">
        <v>947133</v>
      </c>
      <c r="G16">
        <v>36406</v>
      </c>
      <c r="H16" t="s">
        <v>85</v>
      </c>
      <c r="I16" t="s">
        <v>40</v>
      </c>
      <c r="J16">
        <v>30.0181</v>
      </c>
      <c r="K16">
        <v>31.2364</v>
      </c>
      <c r="L16" t="b">
        <f>FALSE()</f>
        <v>0</v>
      </c>
      <c r="M16" t="s">
        <v>128</v>
      </c>
    </row>
    <row r="17" spans="1:13" ht="15" customHeight="1" x14ac:dyDescent="0.3">
      <c r="A17">
        <v>41</v>
      </c>
      <c r="B17">
        <v>673644</v>
      </c>
      <c r="C17">
        <v>25875</v>
      </c>
      <c r="D17">
        <v>273245</v>
      </c>
      <c r="E17">
        <v>10556</v>
      </c>
      <c r="F17">
        <v>946889</v>
      </c>
      <c r="G17">
        <v>36431</v>
      </c>
      <c r="H17" t="s">
        <v>130</v>
      </c>
      <c r="I17" t="s">
        <v>43</v>
      </c>
      <c r="J17">
        <v>30.042200000000001</v>
      </c>
      <c r="K17">
        <v>31.224699999999999</v>
      </c>
      <c r="L17" t="b">
        <f>FALSE()</f>
        <v>0</v>
      </c>
      <c r="M17" t="s">
        <v>128</v>
      </c>
    </row>
    <row r="18" spans="1:13" ht="15" customHeight="1" x14ac:dyDescent="0.3">
      <c r="A18">
        <v>80</v>
      </c>
      <c r="B18">
        <v>672930</v>
      </c>
      <c r="C18">
        <v>25895</v>
      </c>
      <c r="D18">
        <v>272327</v>
      </c>
      <c r="E18">
        <v>10580</v>
      </c>
      <c r="F18">
        <v>945257</v>
      </c>
      <c r="G18">
        <v>36475</v>
      </c>
      <c r="H18" t="s">
        <v>131</v>
      </c>
      <c r="I18" t="s">
        <v>132</v>
      </c>
      <c r="J18">
        <v>30.0533</v>
      </c>
      <c r="K18">
        <v>31.238299999999999</v>
      </c>
      <c r="L18" t="b">
        <f>TRUE()</f>
        <v>1</v>
      </c>
      <c r="M18" t="s">
        <v>128</v>
      </c>
    </row>
    <row r="19" spans="1:13" ht="15" customHeight="1" x14ac:dyDescent="0.3">
      <c r="A19">
        <v>49</v>
      </c>
      <c r="B19">
        <v>670577</v>
      </c>
      <c r="C19">
        <v>25848</v>
      </c>
      <c r="D19">
        <v>274604</v>
      </c>
      <c r="E19">
        <v>10591</v>
      </c>
      <c r="F19">
        <v>945181</v>
      </c>
      <c r="G19">
        <v>36439</v>
      </c>
      <c r="H19" t="s">
        <v>133</v>
      </c>
      <c r="I19" t="s">
        <v>43</v>
      </c>
      <c r="J19">
        <v>30.122199999999999</v>
      </c>
      <c r="K19">
        <v>31.214400000000001</v>
      </c>
      <c r="L19" t="b">
        <f>FALSE()</f>
        <v>0</v>
      </c>
      <c r="M19" t="s">
        <v>128</v>
      </c>
    </row>
    <row r="20" spans="1:13" ht="15" customHeight="1" x14ac:dyDescent="0.3">
      <c r="A20">
        <v>29</v>
      </c>
      <c r="B20">
        <v>673899</v>
      </c>
      <c r="C20">
        <v>25971</v>
      </c>
      <c r="D20">
        <v>271075</v>
      </c>
      <c r="E20">
        <v>10529</v>
      </c>
      <c r="F20">
        <v>944974</v>
      </c>
      <c r="G20">
        <v>36500</v>
      </c>
      <c r="H20" t="s">
        <v>47</v>
      </c>
      <c r="I20" t="s">
        <v>40</v>
      </c>
      <c r="J20">
        <v>30.1311</v>
      </c>
      <c r="K20">
        <v>31.319400000000002</v>
      </c>
      <c r="L20" t="b">
        <f>FALSE()</f>
        <v>0</v>
      </c>
      <c r="M20" t="s">
        <v>128</v>
      </c>
    </row>
    <row r="21" spans="1:13" ht="15" customHeight="1" x14ac:dyDescent="0.3">
      <c r="A21">
        <v>36</v>
      </c>
      <c r="B21">
        <v>670618</v>
      </c>
      <c r="C21">
        <v>25823</v>
      </c>
      <c r="D21">
        <v>274178</v>
      </c>
      <c r="E21">
        <v>10576</v>
      </c>
      <c r="F21">
        <v>944796</v>
      </c>
      <c r="G21">
        <v>36399</v>
      </c>
      <c r="H21" t="s">
        <v>134</v>
      </c>
      <c r="I21" t="s">
        <v>43</v>
      </c>
      <c r="J21">
        <v>30.013100000000001</v>
      </c>
      <c r="K21">
        <v>31.206700000000001</v>
      </c>
      <c r="L21" t="b">
        <f>FALSE()</f>
        <v>0</v>
      </c>
      <c r="M21" t="s">
        <v>128</v>
      </c>
    </row>
    <row r="22" spans="1:13" ht="15" customHeight="1" x14ac:dyDescent="0.3">
      <c r="A22">
        <v>62</v>
      </c>
      <c r="B22">
        <v>671727</v>
      </c>
      <c r="C22">
        <v>26292</v>
      </c>
      <c r="D22">
        <v>272701</v>
      </c>
      <c r="E22">
        <v>10597</v>
      </c>
      <c r="F22">
        <v>944428</v>
      </c>
      <c r="G22">
        <v>36889</v>
      </c>
      <c r="H22" t="s">
        <v>135</v>
      </c>
      <c r="I22" t="s">
        <v>38</v>
      </c>
      <c r="J22">
        <v>30.054400000000001</v>
      </c>
      <c r="K22">
        <v>31.286899999999999</v>
      </c>
      <c r="L22" t="b">
        <f>FALSE()</f>
        <v>0</v>
      </c>
      <c r="M22" t="s">
        <v>128</v>
      </c>
    </row>
    <row r="23" spans="1:13" ht="15" customHeight="1" x14ac:dyDescent="0.3">
      <c r="A23">
        <v>37</v>
      </c>
      <c r="B23">
        <v>673384</v>
      </c>
      <c r="C23">
        <v>25992</v>
      </c>
      <c r="D23">
        <v>270934</v>
      </c>
      <c r="E23">
        <v>10569</v>
      </c>
      <c r="F23">
        <v>944318</v>
      </c>
      <c r="G23">
        <v>36561</v>
      </c>
      <c r="H23" t="s">
        <v>136</v>
      </c>
      <c r="I23" t="s">
        <v>43</v>
      </c>
      <c r="J23">
        <v>30.0169</v>
      </c>
      <c r="K23">
        <v>31.2072</v>
      </c>
      <c r="L23" t="b">
        <f>FALSE()</f>
        <v>0</v>
      </c>
      <c r="M23" t="s">
        <v>128</v>
      </c>
    </row>
    <row r="24" spans="1:13" ht="15" customHeight="1" x14ac:dyDescent="0.3">
      <c r="A24">
        <v>79</v>
      </c>
      <c r="B24">
        <v>674294</v>
      </c>
      <c r="C24">
        <v>25915</v>
      </c>
      <c r="D24">
        <v>267958</v>
      </c>
      <c r="E24">
        <v>10432</v>
      </c>
      <c r="F24">
        <v>942252</v>
      </c>
      <c r="G24">
        <v>36347</v>
      </c>
      <c r="H24" t="s">
        <v>137</v>
      </c>
      <c r="I24" t="s">
        <v>138</v>
      </c>
      <c r="J24">
        <v>30.052199999999999</v>
      </c>
      <c r="K24">
        <v>31.251899999999999</v>
      </c>
      <c r="L24" t="b">
        <f>TRUE()</f>
        <v>1</v>
      </c>
      <c r="M24" t="s">
        <v>128</v>
      </c>
    </row>
    <row r="25" spans="1:13" ht="15" customHeight="1" x14ac:dyDescent="0.3">
      <c r="A25">
        <v>11</v>
      </c>
      <c r="B25">
        <v>668765</v>
      </c>
      <c r="C25">
        <v>25933</v>
      </c>
      <c r="D25">
        <v>273223</v>
      </c>
      <c r="E25">
        <v>10447</v>
      </c>
      <c r="F25">
        <v>941988</v>
      </c>
      <c r="G25">
        <v>36380</v>
      </c>
      <c r="H25" t="s">
        <v>139</v>
      </c>
      <c r="I25" t="s">
        <v>40</v>
      </c>
      <c r="J25">
        <v>29.961099999999998</v>
      </c>
      <c r="K25">
        <v>31.256699999999999</v>
      </c>
      <c r="L25" t="b">
        <f>FALSE()</f>
        <v>0</v>
      </c>
      <c r="M25" t="s">
        <v>128</v>
      </c>
    </row>
    <row r="26" spans="1:13" ht="15" customHeight="1" x14ac:dyDescent="0.3">
      <c r="A26">
        <v>21</v>
      </c>
      <c r="B26">
        <v>664234</v>
      </c>
      <c r="C26">
        <v>25829</v>
      </c>
      <c r="D26">
        <v>276322</v>
      </c>
      <c r="E26">
        <v>10732</v>
      </c>
      <c r="F26">
        <v>940556</v>
      </c>
      <c r="G26">
        <v>36561</v>
      </c>
      <c r="H26" t="s">
        <v>140</v>
      </c>
      <c r="I26" t="s">
        <v>40</v>
      </c>
      <c r="J26">
        <v>30.077200000000001</v>
      </c>
      <c r="K26">
        <v>31.277799999999999</v>
      </c>
      <c r="L26" t="b">
        <f>FALSE()</f>
        <v>0</v>
      </c>
      <c r="M26" t="s">
        <v>128</v>
      </c>
    </row>
    <row r="27" spans="1:13" ht="15" customHeight="1" x14ac:dyDescent="0.3">
      <c r="A27">
        <v>17</v>
      </c>
      <c r="B27">
        <v>662802</v>
      </c>
      <c r="C27">
        <v>25675</v>
      </c>
      <c r="D27">
        <v>275264</v>
      </c>
      <c r="E27">
        <v>10430</v>
      </c>
      <c r="F27">
        <v>938066</v>
      </c>
      <c r="G27">
        <v>36105</v>
      </c>
      <c r="H27" t="s">
        <v>88</v>
      </c>
      <c r="I27" t="s">
        <v>40</v>
      </c>
      <c r="J27">
        <v>30.029199999999999</v>
      </c>
      <c r="K27">
        <v>31.243099999999998</v>
      </c>
      <c r="L27" t="b">
        <f>FALSE()</f>
        <v>0</v>
      </c>
      <c r="M27" t="s">
        <v>128</v>
      </c>
    </row>
    <row r="28" spans="1:13" ht="15" customHeight="1" x14ac:dyDescent="0.3">
      <c r="A28">
        <v>20</v>
      </c>
      <c r="B28">
        <v>661959</v>
      </c>
      <c r="C28">
        <v>25734</v>
      </c>
      <c r="D28">
        <v>274416</v>
      </c>
      <c r="E28">
        <v>10617</v>
      </c>
      <c r="F28">
        <v>936375</v>
      </c>
      <c r="G28">
        <v>36351</v>
      </c>
      <c r="H28" t="s">
        <v>141</v>
      </c>
      <c r="I28" t="s">
        <v>40</v>
      </c>
      <c r="J28">
        <v>30.068899999999999</v>
      </c>
      <c r="K28">
        <v>31.264399999999998</v>
      </c>
      <c r="L28" t="b">
        <f>FALSE()</f>
        <v>0</v>
      </c>
      <c r="M28" t="s">
        <v>128</v>
      </c>
    </row>
    <row r="29" spans="1:13" ht="15" customHeight="1" x14ac:dyDescent="0.3">
      <c r="A29">
        <v>78</v>
      </c>
      <c r="B29">
        <v>663716</v>
      </c>
      <c r="C29">
        <v>25700</v>
      </c>
      <c r="D29">
        <v>268080</v>
      </c>
      <c r="E29">
        <v>10447</v>
      </c>
      <c r="F29">
        <v>931796</v>
      </c>
      <c r="G29">
        <v>36147</v>
      </c>
      <c r="H29" t="s">
        <v>89</v>
      </c>
      <c r="I29" t="s">
        <v>82</v>
      </c>
      <c r="J29">
        <v>30.061699999999998</v>
      </c>
      <c r="K29">
        <v>31.246099999999998</v>
      </c>
      <c r="L29" t="b">
        <f>TRUE()</f>
        <v>1</v>
      </c>
      <c r="M29" t="s">
        <v>129</v>
      </c>
    </row>
    <row r="30" spans="1:13" ht="15" customHeight="1" x14ac:dyDescent="0.3">
      <c r="A30">
        <v>55</v>
      </c>
      <c r="B30">
        <v>664464</v>
      </c>
      <c r="C30">
        <v>25964</v>
      </c>
      <c r="D30">
        <v>267224</v>
      </c>
      <c r="E30">
        <v>10517</v>
      </c>
      <c r="F30">
        <v>931688</v>
      </c>
      <c r="G30">
        <v>36481</v>
      </c>
      <c r="H30" t="s">
        <v>142</v>
      </c>
      <c r="I30" t="s">
        <v>38</v>
      </c>
      <c r="J30">
        <v>30.130600000000001</v>
      </c>
      <c r="K30">
        <v>31.340800000000002</v>
      </c>
      <c r="L30" t="b">
        <f>FALSE()</f>
        <v>0</v>
      </c>
      <c r="M30" t="s">
        <v>128</v>
      </c>
    </row>
    <row r="31" spans="1:13" ht="15" customHeight="1" x14ac:dyDescent="0.3">
      <c r="A31">
        <v>25</v>
      </c>
      <c r="B31">
        <v>55754</v>
      </c>
      <c r="C31">
        <v>2134</v>
      </c>
      <c r="D31">
        <v>292915</v>
      </c>
      <c r="E31">
        <v>11060</v>
      </c>
      <c r="F31">
        <v>348669</v>
      </c>
      <c r="G31">
        <v>13194</v>
      </c>
      <c r="H31" t="s">
        <v>143</v>
      </c>
      <c r="I31" t="s">
        <v>40</v>
      </c>
      <c r="J31">
        <v>30.101700000000001</v>
      </c>
      <c r="K31">
        <v>31.305599999999998</v>
      </c>
      <c r="L31" t="b">
        <f>FALSE()</f>
        <v>0</v>
      </c>
      <c r="M31" t="s">
        <v>144</v>
      </c>
    </row>
    <row r="32" spans="1:13" ht="15" customHeight="1" x14ac:dyDescent="0.3">
      <c r="A32">
        <v>52</v>
      </c>
      <c r="B32">
        <v>57665</v>
      </c>
      <c r="C32">
        <v>2197</v>
      </c>
      <c r="D32">
        <v>290197</v>
      </c>
      <c r="E32">
        <v>11158</v>
      </c>
      <c r="F32">
        <v>347862</v>
      </c>
      <c r="G32">
        <v>13355</v>
      </c>
      <c r="H32" t="s">
        <v>145</v>
      </c>
      <c r="I32" t="s">
        <v>38</v>
      </c>
      <c r="J32">
        <v>30.140599999999999</v>
      </c>
      <c r="K32">
        <v>31.389199999999999</v>
      </c>
      <c r="L32" t="b">
        <f>FALSE()</f>
        <v>0</v>
      </c>
      <c r="M32" t="s">
        <v>146</v>
      </c>
    </row>
    <row r="33" spans="1:13" ht="15" customHeight="1" x14ac:dyDescent="0.3">
      <c r="A33">
        <v>73</v>
      </c>
      <c r="B33">
        <v>57843</v>
      </c>
      <c r="C33">
        <v>2154</v>
      </c>
      <c r="D33">
        <v>288108</v>
      </c>
      <c r="E33">
        <v>10841</v>
      </c>
      <c r="F33">
        <v>345951</v>
      </c>
      <c r="G33">
        <v>12995</v>
      </c>
      <c r="H33" t="s">
        <v>147</v>
      </c>
      <c r="I33" t="s">
        <v>38</v>
      </c>
      <c r="J33">
        <v>30.0367</v>
      </c>
      <c r="K33">
        <v>31.201699999999999</v>
      </c>
      <c r="L33" t="b">
        <f>FALSE()</f>
        <v>0</v>
      </c>
      <c r="M33" t="s">
        <v>144</v>
      </c>
    </row>
    <row r="34" spans="1:13" ht="15" customHeight="1" x14ac:dyDescent="0.3">
      <c r="A34">
        <v>8</v>
      </c>
      <c r="B34">
        <v>58305</v>
      </c>
      <c r="C34">
        <v>2184</v>
      </c>
      <c r="D34">
        <v>287444</v>
      </c>
      <c r="E34">
        <v>10890</v>
      </c>
      <c r="F34">
        <v>345749</v>
      </c>
      <c r="G34">
        <v>13074</v>
      </c>
      <c r="H34" t="s">
        <v>148</v>
      </c>
      <c r="I34" t="s">
        <v>40</v>
      </c>
      <c r="J34">
        <v>29.9361</v>
      </c>
      <c r="K34">
        <v>31.280799999999999</v>
      </c>
      <c r="L34" t="b">
        <f>FALSE()</f>
        <v>0</v>
      </c>
      <c r="M34" t="s">
        <v>149</v>
      </c>
    </row>
    <row r="35" spans="1:13" ht="15" customHeight="1" x14ac:dyDescent="0.3">
      <c r="A35">
        <v>63</v>
      </c>
      <c r="B35">
        <v>54558</v>
      </c>
      <c r="C35">
        <v>2093</v>
      </c>
      <c r="D35">
        <v>290519</v>
      </c>
      <c r="E35">
        <v>10967</v>
      </c>
      <c r="F35">
        <v>345077</v>
      </c>
      <c r="G35">
        <v>13060</v>
      </c>
      <c r="H35" t="s">
        <v>150</v>
      </c>
      <c r="I35" t="s">
        <v>38</v>
      </c>
      <c r="J35">
        <v>30.0444</v>
      </c>
      <c r="K35">
        <v>31.2822</v>
      </c>
      <c r="L35" t="b">
        <f>FALSE()</f>
        <v>0</v>
      </c>
      <c r="M35" t="s">
        <v>146</v>
      </c>
    </row>
    <row r="36" spans="1:13" ht="15" customHeight="1" x14ac:dyDescent="0.3">
      <c r="A36">
        <v>35</v>
      </c>
      <c r="B36">
        <v>56091</v>
      </c>
      <c r="C36">
        <v>2111</v>
      </c>
      <c r="D36">
        <v>287749</v>
      </c>
      <c r="E36">
        <v>11095</v>
      </c>
      <c r="F36">
        <v>343840</v>
      </c>
      <c r="G36">
        <v>13206</v>
      </c>
      <c r="H36" t="s">
        <v>151</v>
      </c>
      <c r="I36" t="s">
        <v>43</v>
      </c>
      <c r="J36">
        <v>30.01</v>
      </c>
      <c r="K36">
        <v>31.206099999999999</v>
      </c>
      <c r="L36" t="b">
        <f>FALSE()</f>
        <v>0</v>
      </c>
      <c r="M36" t="s">
        <v>144</v>
      </c>
    </row>
    <row r="37" spans="1:13" ht="15" customHeight="1" x14ac:dyDescent="0.3">
      <c r="A37">
        <v>39</v>
      </c>
      <c r="B37">
        <v>57905</v>
      </c>
      <c r="C37">
        <v>2198</v>
      </c>
      <c r="D37">
        <v>285437</v>
      </c>
      <c r="E37">
        <v>11043</v>
      </c>
      <c r="F37">
        <v>343342</v>
      </c>
      <c r="G37">
        <v>13241</v>
      </c>
      <c r="H37" t="s">
        <v>152</v>
      </c>
      <c r="I37" t="s">
        <v>43</v>
      </c>
      <c r="J37">
        <v>30.033300000000001</v>
      </c>
      <c r="K37">
        <v>31.209399999999999</v>
      </c>
      <c r="L37" t="b">
        <f>FALSE()</f>
        <v>0</v>
      </c>
      <c r="M37" t="s">
        <v>146</v>
      </c>
    </row>
    <row r="38" spans="1:13" ht="15" customHeight="1" x14ac:dyDescent="0.3">
      <c r="A38">
        <v>19</v>
      </c>
      <c r="B38">
        <v>58539</v>
      </c>
      <c r="C38">
        <v>2232</v>
      </c>
      <c r="D38">
        <v>284711</v>
      </c>
      <c r="E38">
        <v>10907</v>
      </c>
      <c r="F38">
        <v>343250</v>
      </c>
      <c r="G38">
        <v>13139</v>
      </c>
      <c r="H38" t="s">
        <v>153</v>
      </c>
      <c r="I38" t="s">
        <v>40</v>
      </c>
      <c r="J38">
        <v>30.056699999999999</v>
      </c>
      <c r="K38">
        <v>31.2422</v>
      </c>
      <c r="L38" t="b">
        <f>FALSE()</f>
        <v>0</v>
      </c>
      <c r="M38" t="s">
        <v>146</v>
      </c>
    </row>
    <row r="39" spans="1:13" ht="15" customHeight="1" x14ac:dyDescent="0.3">
      <c r="A39">
        <v>75</v>
      </c>
      <c r="B39">
        <v>57772</v>
      </c>
      <c r="C39">
        <v>2149</v>
      </c>
      <c r="D39">
        <v>285170</v>
      </c>
      <c r="E39">
        <v>10914</v>
      </c>
      <c r="F39">
        <v>342942</v>
      </c>
      <c r="G39">
        <v>13063</v>
      </c>
      <c r="H39" t="s">
        <v>154</v>
      </c>
      <c r="I39" t="s">
        <v>38</v>
      </c>
      <c r="J39">
        <v>30.031099999999999</v>
      </c>
      <c r="K39">
        <v>31.189399999999999</v>
      </c>
      <c r="L39" t="b">
        <f>FALSE()</f>
        <v>0</v>
      </c>
      <c r="M39" t="s">
        <v>146</v>
      </c>
    </row>
    <row r="40" spans="1:13" ht="15" customHeight="1" x14ac:dyDescent="0.3">
      <c r="A40">
        <v>24</v>
      </c>
      <c r="B40">
        <v>57854</v>
      </c>
      <c r="C40">
        <v>2177</v>
      </c>
      <c r="D40">
        <v>285051</v>
      </c>
      <c r="E40">
        <v>10940</v>
      </c>
      <c r="F40">
        <v>342905</v>
      </c>
      <c r="G40">
        <v>13117</v>
      </c>
      <c r="H40" t="s">
        <v>155</v>
      </c>
      <c r="I40" t="s">
        <v>40</v>
      </c>
      <c r="J40">
        <v>30.094999999999999</v>
      </c>
      <c r="K40">
        <v>31.3</v>
      </c>
      <c r="L40" t="b">
        <f>FALSE()</f>
        <v>0</v>
      </c>
      <c r="M40" t="s">
        <v>144</v>
      </c>
    </row>
    <row r="41" spans="1:13" ht="15" customHeight="1" x14ac:dyDescent="0.3">
      <c r="A41">
        <v>71</v>
      </c>
      <c r="B41">
        <v>57450</v>
      </c>
      <c r="C41">
        <v>2232</v>
      </c>
      <c r="D41">
        <v>284744</v>
      </c>
      <c r="E41">
        <v>10886</v>
      </c>
      <c r="F41">
        <v>342194</v>
      </c>
      <c r="G41">
        <v>13118</v>
      </c>
      <c r="H41" t="s">
        <v>156</v>
      </c>
      <c r="I41" t="s">
        <v>38</v>
      </c>
      <c r="J41">
        <v>30.042200000000001</v>
      </c>
      <c r="K41">
        <v>31.213899999999999</v>
      </c>
      <c r="L41" t="b">
        <f>FALSE()</f>
        <v>0</v>
      </c>
      <c r="M41" t="s">
        <v>146</v>
      </c>
    </row>
    <row r="42" spans="1:13" ht="15" customHeight="1" x14ac:dyDescent="0.3">
      <c r="A42">
        <v>4</v>
      </c>
      <c r="B42">
        <v>55044</v>
      </c>
      <c r="C42">
        <v>2182</v>
      </c>
      <c r="D42">
        <v>286846</v>
      </c>
      <c r="E42">
        <v>10980</v>
      </c>
      <c r="F42">
        <v>341890</v>
      </c>
      <c r="G42">
        <v>13162</v>
      </c>
      <c r="H42" t="s">
        <v>157</v>
      </c>
      <c r="I42" t="s">
        <v>40</v>
      </c>
      <c r="J42">
        <v>29.879200000000001</v>
      </c>
      <c r="K42">
        <v>31.3139</v>
      </c>
      <c r="L42" t="b">
        <f>FALSE()</f>
        <v>0</v>
      </c>
      <c r="M42" t="s">
        <v>149</v>
      </c>
    </row>
    <row r="43" spans="1:13" ht="15" customHeight="1" x14ac:dyDescent="0.3">
      <c r="A43">
        <v>32</v>
      </c>
      <c r="B43">
        <v>55291</v>
      </c>
      <c r="C43">
        <v>2099</v>
      </c>
      <c r="D43">
        <v>286406</v>
      </c>
      <c r="E43">
        <v>10922</v>
      </c>
      <c r="F43">
        <v>341697</v>
      </c>
      <c r="G43">
        <v>13021</v>
      </c>
      <c r="H43" t="s">
        <v>158</v>
      </c>
      <c r="I43" t="s">
        <v>40</v>
      </c>
      <c r="J43">
        <v>30.179400000000001</v>
      </c>
      <c r="K43">
        <v>31.35</v>
      </c>
      <c r="L43" t="b">
        <f>FALSE()</f>
        <v>0</v>
      </c>
      <c r="M43" t="s">
        <v>146</v>
      </c>
    </row>
    <row r="44" spans="1:13" ht="15" customHeight="1" x14ac:dyDescent="0.3">
      <c r="A44">
        <v>27</v>
      </c>
      <c r="B44">
        <v>53665</v>
      </c>
      <c r="C44">
        <v>2161</v>
      </c>
      <c r="D44">
        <v>287421</v>
      </c>
      <c r="E44">
        <v>11082</v>
      </c>
      <c r="F44">
        <v>341086</v>
      </c>
      <c r="G44">
        <v>13243</v>
      </c>
      <c r="H44" t="s">
        <v>159</v>
      </c>
      <c r="I44" t="s">
        <v>40</v>
      </c>
      <c r="J44">
        <v>30.114999999999998</v>
      </c>
      <c r="K44">
        <v>31.316700000000001</v>
      </c>
      <c r="L44" t="b">
        <f>FALSE()</f>
        <v>0</v>
      </c>
      <c r="M44" t="s">
        <v>146</v>
      </c>
    </row>
    <row r="45" spans="1:13" ht="15" customHeight="1" x14ac:dyDescent="0.3">
      <c r="A45">
        <v>13</v>
      </c>
      <c r="B45">
        <v>54841</v>
      </c>
      <c r="C45">
        <v>2119</v>
      </c>
      <c r="D45">
        <v>286163</v>
      </c>
      <c r="E45">
        <v>10931</v>
      </c>
      <c r="F45">
        <v>341004</v>
      </c>
      <c r="G45">
        <v>13050</v>
      </c>
      <c r="H45" t="s">
        <v>160</v>
      </c>
      <c r="I45" t="s">
        <v>40</v>
      </c>
      <c r="J45">
        <v>29.9819</v>
      </c>
      <c r="K45">
        <v>31.241900000000001</v>
      </c>
      <c r="L45" t="b">
        <f>FALSE()</f>
        <v>0</v>
      </c>
      <c r="M45" t="s">
        <v>146</v>
      </c>
    </row>
    <row r="46" spans="1:13" ht="15" customHeight="1" x14ac:dyDescent="0.3">
      <c r="A46">
        <v>45</v>
      </c>
      <c r="B46">
        <v>57680</v>
      </c>
      <c r="C46">
        <v>2134</v>
      </c>
      <c r="D46">
        <v>283305</v>
      </c>
      <c r="E46">
        <v>10957</v>
      </c>
      <c r="F46">
        <v>340985</v>
      </c>
      <c r="G46">
        <v>13091</v>
      </c>
      <c r="H46" t="s">
        <v>161</v>
      </c>
      <c r="I46" t="s">
        <v>43</v>
      </c>
      <c r="J46">
        <v>30.0883</v>
      </c>
      <c r="K46">
        <v>31.230599999999999</v>
      </c>
      <c r="L46" t="b">
        <f>FALSE()</f>
        <v>0</v>
      </c>
      <c r="M46" t="s">
        <v>144</v>
      </c>
    </row>
    <row r="47" spans="1:13" ht="15" customHeight="1" x14ac:dyDescent="0.3">
      <c r="A47">
        <v>74</v>
      </c>
      <c r="B47">
        <v>59091</v>
      </c>
      <c r="C47">
        <v>2232</v>
      </c>
      <c r="D47">
        <v>281204</v>
      </c>
      <c r="E47">
        <v>10739</v>
      </c>
      <c r="F47">
        <v>340295</v>
      </c>
      <c r="G47">
        <v>12971</v>
      </c>
      <c r="H47" t="s">
        <v>162</v>
      </c>
      <c r="I47" t="s">
        <v>38</v>
      </c>
      <c r="J47">
        <v>30.033899999999999</v>
      </c>
      <c r="K47">
        <v>31.195599999999999</v>
      </c>
      <c r="L47" t="b">
        <f>FALSE()</f>
        <v>0</v>
      </c>
      <c r="M47" t="s">
        <v>144</v>
      </c>
    </row>
    <row r="48" spans="1:13" ht="15" customHeight="1" x14ac:dyDescent="0.3">
      <c r="A48">
        <v>10</v>
      </c>
      <c r="B48">
        <v>55159</v>
      </c>
      <c r="C48">
        <v>2144</v>
      </c>
      <c r="D48">
        <v>285108</v>
      </c>
      <c r="E48">
        <v>10800</v>
      </c>
      <c r="F48">
        <v>340267</v>
      </c>
      <c r="G48">
        <v>12944</v>
      </c>
      <c r="H48" t="s">
        <v>163</v>
      </c>
      <c r="I48" t="s">
        <v>40</v>
      </c>
      <c r="J48">
        <v>29.958300000000001</v>
      </c>
      <c r="K48">
        <v>31.267499999999998</v>
      </c>
      <c r="L48" t="b">
        <f>FALSE()</f>
        <v>0</v>
      </c>
      <c r="M48" t="s">
        <v>149</v>
      </c>
    </row>
    <row r="49" spans="1:13" ht="15" customHeight="1" x14ac:dyDescent="0.3">
      <c r="A49">
        <v>23</v>
      </c>
      <c r="B49">
        <v>57787</v>
      </c>
      <c r="C49">
        <v>2218</v>
      </c>
      <c r="D49">
        <v>282412</v>
      </c>
      <c r="E49">
        <v>10864</v>
      </c>
      <c r="F49">
        <v>340199</v>
      </c>
      <c r="G49">
        <v>13082</v>
      </c>
      <c r="H49" t="s">
        <v>164</v>
      </c>
      <c r="I49" t="s">
        <v>40</v>
      </c>
      <c r="J49">
        <v>30.0883</v>
      </c>
      <c r="K49">
        <v>31.2944</v>
      </c>
      <c r="L49" t="b">
        <f>FALSE()</f>
        <v>0</v>
      </c>
      <c r="M49" t="s">
        <v>144</v>
      </c>
    </row>
    <row r="50" spans="1:13" ht="15" customHeight="1" x14ac:dyDescent="0.3">
      <c r="A50">
        <v>2</v>
      </c>
      <c r="B50">
        <v>55308</v>
      </c>
      <c r="C50">
        <v>2150</v>
      </c>
      <c r="D50">
        <v>284846</v>
      </c>
      <c r="E50">
        <v>10992</v>
      </c>
      <c r="F50">
        <v>340154</v>
      </c>
      <c r="G50">
        <v>13142</v>
      </c>
      <c r="H50" t="s">
        <v>165</v>
      </c>
      <c r="I50" t="s">
        <v>40</v>
      </c>
      <c r="J50">
        <v>29.861699999999999</v>
      </c>
      <c r="K50">
        <v>31.324999999999999</v>
      </c>
      <c r="L50" t="b">
        <f>FALSE()</f>
        <v>0</v>
      </c>
      <c r="M50" t="s">
        <v>149</v>
      </c>
    </row>
    <row r="51" spans="1:13" ht="15" customHeight="1" x14ac:dyDescent="0.3">
      <c r="A51">
        <v>42</v>
      </c>
      <c r="B51">
        <v>56355</v>
      </c>
      <c r="C51">
        <v>2141</v>
      </c>
      <c r="D51">
        <v>283566</v>
      </c>
      <c r="E51">
        <v>10981</v>
      </c>
      <c r="F51">
        <v>339921</v>
      </c>
      <c r="G51">
        <v>13122</v>
      </c>
      <c r="H51" t="s">
        <v>166</v>
      </c>
      <c r="I51" t="s">
        <v>43</v>
      </c>
      <c r="J51">
        <v>30.0489</v>
      </c>
      <c r="K51">
        <v>31.243600000000001</v>
      </c>
      <c r="L51" t="b">
        <f>FALSE()</f>
        <v>0</v>
      </c>
      <c r="M51" t="s">
        <v>146</v>
      </c>
    </row>
    <row r="52" spans="1:13" ht="15" customHeight="1" x14ac:dyDescent="0.3">
      <c r="A52">
        <v>43</v>
      </c>
      <c r="B52">
        <v>55486</v>
      </c>
      <c r="C52">
        <v>2110</v>
      </c>
      <c r="D52">
        <v>284381</v>
      </c>
      <c r="E52">
        <v>10823</v>
      </c>
      <c r="F52">
        <v>339867</v>
      </c>
      <c r="G52">
        <v>12933</v>
      </c>
      <c r="H52" t="s">
        <v>167</v>
      </c>
      <c r="I52" t="s">
        <v>43</v>
      </c>
      <c r="J52">
        <v>30.071100000000001</v>
      </c>
      <c r="K52">
        <v>31.240300000000001</v>
      </c>
      <c r="L52" t="b">
        <f>FALSE()</f>
        <v>0</v>
      </c>
      <c r="M52" t="s">
        <v>146</v>
      </c>
    </row>
    <row r="53" spans="1:13" ht="15" customHeight="1" x14ac:dyDescent="0.3">
      <c r="A53">
        <v>34</v>
      </c>
      <c r="B53">
        <v>56511</v>
      </c>
      <c r="C53">
        <v>2124</v>
      </c>
      <c r="D53">
        <v>283263</v>
      </c>
      <c r="E53">
        <v>10997</v>
      </c>
      <c r="F53">
        <v>339774</v>
      </c>
      <c r="G53">
        <v>13121</v>
      </c>
      <c r="H53" t="s">
        <v>168</v>
      </c>
      <c r="I53" t="s">
        <v>43</v>
      </c>
      <c r="J53">
        <v>29.9956</v>
      </c>
      <c r="K53">
        <v>31.2089</v>
      </c>
      <c r="L53" t="b">
        <f>FALSE()</f>
        <v>0</v>
      </c>
      <c r="M53" t="s">
        <v>144</v>
      </c>
    </row>
    <row r="54" spans="1:13" ht="15" customHeight="1" x14ac:dyDescent="0.3">
      <c r="A54">
        <v>47</v>
      </c>
      <c r="B54">
        <v>52544</v>
      </c>
      <c r="C54">
        <v>2114</v>
      </c>
      <c r="D54">
        <v>286791</v>
      </c>
      <c r="E54">
        <v>10868</v>
      </c>
      <c r="F54">
        <v>339335</v>
      </c>
      <c r="G54">
        <v>12982</v>
      </c>
      <c r="H54" t="s">
        <v>169</v>
      </c>
      <c r="I54" t="s">
        <v>43</v>
      </c>
      <c r="J54">
        <v>30.103899999999999</v>
      </c>
      <c r="K54">
        <v>31.222799999999999</v>
      </c>
      <c r="L54" t="b">
        <f>FALSE()</f>
        <v>0</v>
      </c>
      <c r="M54" t="s">
        <v>144</v>
      </c>
    </row>
    <row r="55" spans="1:13" ht="15" customHeight="1" x14ac:dyDescent="0.3">
      <c r="A55">
        <v>69</v>
      </c>
      <c r="B55">
        <v>55769</v>
      </c>
      <c r="C55">
        <v>2174</v>
      </c>
      <c r="D55">
        <v>283533</v>
      </c>
      <c r="E55">
        <v>10825</v>
      </c>
      <c r="F55">
        <v>339302</v>
      </c>
      <c r="G55">
        <v>12999</v>
      </c>
      <c r="H55" t="s">
        <v>170</v>
      </c>
      <c r="I55" t="s">
        <v>38</v>
      </c>
      <c r="J55">
        <v>30.047799999999999</v>
      </c>
      <c r="K55">
        <v>31.226099999999999</v>
      </c>
      <c r="L55" t="b">
        <f>FALSE()</f>
        <v>0</v>
      </c>
      <c r="M55" t="s">
        <v>146</v>
      </c>
    </row>
    <row r="56" spans="1:13" ht="15" customHeight="1" x14ac:dyDescent="0.3">
      <c r="A56">
        <v>61</v>
      </c>
      <c r="B56">
        <v>59259</v>
      </c>
      <c r="C56">
        <v>2159</v>
      </c>
      <c r="D56">
        <v>279763</v>
      </c>
      <c r="E56">
        <v>10684</v>
      </c>
      <c r="F56">
        <v>339022</v>
      </c>
      <c r="G56">
        <v>12843</v>
      </c>
      <c r="H56" t="s">
        <v>171</v>
      </c>
      <c r="I56" t="s">
        <v>38</v>
      </c>
      <c r="J56">
        <v>30.064399999999999</v>
      </c>
      <c r="K56">
        <v>31.291699999999999</v>
      </c>
      <c r="L56" t="b">
        <f>FALSE()</f>
        <v>0</v>
      </c>
      <c r="M56" t="s">
        <v>146</v>
      </c>
    </row>
    <row r="57" spans="1:13" ht="15" customHeight="1" x14ac:dyDescent="0.3">
      <c r="A57">
        <v>65</v>
      </c>
      <c r="B57">
        <v>54966</v>
      </c>
      <c r="C57">
        <v>2069</v>
      </c>
      <c r="D57">
        <v>283775</v>
      </c>
      <c r="E57">
        <v>10865</v>
      </c>
      <c r="F57">
        <v>338741</v>
      </c>
      <c r="G57">
        <v>12934</v>
      </c>
      <c r="H57" t="s">
        <v>172</v>
      </c>
      <c r="I57" t="s">
        <v>38</v>
      </c>
      <c r="J57">
        <v>30.056100000000001</v>
      </c>
      <c r="K57">
        <v>31.259699999999999</v>
      </c>
      <c r="L57" t="b">
        <f>FALSE()</f>
        <v>0</v>
      </c>
      <c r="M57" t="s">
        <v>144</v>
      </c>
    </row>
    <row r="58" spans="1:13" ht="15" customHeight="1" x14ac:dyDescent="0.3">
      <c r="A58">
        <v>7</v>
      </c>
      <c r="B58">
        <v>58312</v>
      </c>
      <c r="C58">
        <v>2164</v>
      </c>
      <c r="D58">
        <v>280298</v>
      </c>
      <c r="E58">
        <v>10915</v>
      </c>
      <c r="F58">
        <v>338610</v>
      </c>
      <c r="G58">
        <v>13079</v>
      </c>
      <c r="H58" t="s">
        <v>173</v>
      </c>
      <c r="I58" t="s">
        <v>40</v>
      </c>
      <c r="J58">
        <v>29.925000000000001</v>
      </c>
      <c r="K58">
        <v>31.287500000000001</v>
      </c>
      <c r="L58" t="b">
        <f>FALSE()</f>
        <v>0</v>
      </c>
      <c r="M58" t="s">
        <v>149</v>
      </c>
    </row>
    <row r="59" spans="1:13" ht="15" customHeight="1" x14ac:dyDescent="0.3">
      <c r="A59">
        <v>51</v>
      </c>
      <c r="B59">
        <v>53587</v>
      </c>
      <c r="C59">
        <v>2163</v>
      </c>
      <c r="D59">
        <v>284211</v>
      </c>
      <c r="E59">
        <v>10936</v>
      </c>
      <c r="F59">
        <v>337798</v>
      </c>
      <c r="G59">
        <v>13099</v>
      </c>
      <c r="H59" t="s">
        <v>174</v>
      </c>
      <c r="I59" t="s">
        <v>38</v>
      </c>
      <c r="J59">
        <v>30.143899999999999</v>
      </c>
      <c r="K59">
        <v>31.4053</v>
      </c>
      <c r="L59" t="b">
        <f>FALSE()</f>
        <v>0</v>
      </c>
      <c r="M59" t="s">
        <v>146</v>
      </c>
    </row>
    <row r="60" spans="1:13" ht="15" customHeight="1" x14ac:dyDescent="0.3">
      <c r="A60">
        <v>31</v>
      </c>
      <c r="B60">
        <v>55521</v>
      </c>
      <c r="C60">
        <v>2182</v>
      </c>
      <c r="D60">
        <v>282227</v>
      </c>
      <c r="E60">
        <v>10942</v>
      </c>
      <c r="F60">
        <v>337748</v>
      </c>
      <c r="G60">
        <v>13124</v>
      </c>
      <c r="H60" t="s">
        <v>175</v>
      </c>
      <c r="I60" t="s">
        <v>40</v>
      </c>
      <c r="J60">
        <v>30.164999999999999</v>
      </c>
      <c r="K60">
        <v>31.336099999999998</v>
      </c>
      <c r="L60" t="b">
        <f>FALSE()</f>
        <v>0</v>
      </c>
      <c r="M60" t="s">
        <v>146</v>
      </c>
    </row>
    <row r="61" spans="1:13" ht="15" customHeight="1" x14ac:dyDescent="0.3">
      <c r="A61">
        <v>76</v>
      </c>
      <c r="B61">
        <v>55720</v>
      </c>
      <c r="C61">
        <v>2185</v>
      </c>
      <c r="D61">
        <v>281980</v>
      </c>
      <c r="E61">
        <v>10930</v>
      </c>
      <c r="F61">
        <v>337700</v>
      </c>
      <c r="G61">
        <v>13115</v>
      </c>
      <c r="H61" t="s">
        <v>176</v>
      </c>
      <c r="I61" t="s">
        <v>38</v>
      </c>
      <c r="J61">
        <v>30.028300000000002</v>
      </c>
      <c r="K61">
        <v>31.183299999999999</v>
      </c>
      <c r="L61" t="b">
        <f>FALSE()</f>
        <v>0</v>
      </c>
      <c r="M61" t="s">
        <v>146</v>
      </c>
    </row>
    <row r="62" spans="1:13" ht="15" customHeight="1" x14ac:dyDescent="0.3">
      <c r="A62">
        <v>60</v>
      </c>
      <c r="B62">
        <v>56629</v>
      </c>
      <c r="C62">
        <v>2139</v>
      </c>
      <c r="D62">
        <v>281010</v>
      </c>
      <c r="E62">
        <v>10899</v>
      </c>
      <c r="F62">
        <v>337639</v>
      </c>
      <c r="G62">
        <v>13038</v>
      </c>
      <c r="H62" t="s">
        <v>177</v>
      </c>
      <c r="I62" t="s">
        <v>38</v>
      </c>
      <c r="J62">
        <v>30.074400000000001</v>
      </c>
      <c r="K62">
        <v>31.296399999999998</v>
      </c>
      <c r="L62" t="b">
        <f>FALSE()</f>
        <v>0</v>
      </c>
      <c r="M62" t="s">
        <v>146</v>
      </c>
    </row>
    <row r="63" spans="1:13" ht="15" customHeight="1" x14ac:dyDescent="0.3">
      <c r="A63">
        <v>1</v>
      </c>
      <c r="B63">
        <v>54924</v>
      </c>
      <c r="C63">
        <v>2161</v>
      </c>
      <c r="D63">
        <v>282249</v>
      </c>
      <c r="E63">
        <v>10930</v>
      </c>
      <c r="F63">
        <v>337173</v>
      </c>
      <c r="G63">
        <v>13091</v>
      </c>
      <c r="H63" t="s">
        <v>178</v>
      </c>
      <c r="I63" t="s">
        <v>40</v>
      </c>
      <c r="J63">
        <v>29.85</v>
      </c>
      <c r="K63">
        <v>31.334399999999999</v>
      </c>
      <c r="L63" t="b">
        <f>FALSE()</f>
        <v>0</v>
      </c>
      <c r="M63" t="s">
        <v>144</v>
      </c>
    </row>
    <row r="64" spans="1:13" ht="15" customHeight="1" x14ac:dyDescent="0.3">
      <c r="A64">
        <v>54</v>
      </c>
      <c r="B64">
        <v>57627</v>
      </c>
      <c r="C64">
        <v>2181</v>
      </c>
      <c r="D64">
        <v>279529</v>
      </c>
      <c r="E64">
        <v>10891</v>
      </c>
      <c r="F64">
        <v>337156</v>
      </c>
      <c r="G64">
        <v>13072</v>
      </c>
      <c r="H64" t="s">
        <v>179</v>
      </c>
      <c r="I64" t="s">
        <v>38</v>
      </c>
      <c r="J64">
        <v>30.133900000000001</v>
      </c>
      <c r="K64">
        <v>31.3569</v>
      </c>
      <c r="L64" t="b">
        <f>FALSE()</f>
        <v>0</v>
      </c>
      <c r="M64" t="s">
        <v>144</v>
      </c>
    </row>
    <row r="65" spans="1:13" ht="15" customHeight="1" x14ac:dyDescent="0.3">
      <c r="A65">
        <v>14</v>
      </c>
      <c r="B65">
        <v>54730</v>
      </c>
      <c r="C65">
        <v>2139</v>
      </c>
      <c r="D65">
        <v>282145</v>
      </c>
      <c r="E65">
        <v>10853</v>
      </c>
      <c r="F65">
        <v>336875</v>
      </c>
      <c r="G65">
        <v>12992</v>
      </c>
      <c r="H65" t="s">
        <v>180</v>
      </c>
      <c r="I65" t="s">
        <v>40</v>
      </c>
      <c r="J65">
        <v>29.995000000000001</v>
      </c>
      <c r="K65">
        <v>31.231400000000001</v>
      </c>
      <c r="L65" t="b">
        <f>FALSE()</f>
        <v>0</v>
      </c>
      <c r="M65" t="s">
        <v>144</v>
      </c>
    </row>
    <row r="66" spans="1:13" ht="15" customHeight="1" x14ac:dyDescent="0.3">
      <c r="A66">
        <v>30</v>
      </c>
      <c r="B66">
        <v>55640</v>
      </c>
      <c r="C66">
        <v>2146</v>
      </c>
      <c r="D66">
        <v>280948</v>
      </c>
      <c r="E66">
        <v>10815</v>
      </c>
      <c r="F66">
        <v>336588</v>
      </c>
      <c r="G66">
        <v>12961</v>
      </c>
      <c r="H66" t="s">
        <v>181</v>
      </c>
      <c r="I66" t="s">
        <v>40</v>
      </c>
      <c r="J66">
        <v>30.139399999999998</v>
      </c>
      <c r="K66">
        <v>31.316700000000001</v>
      </c>
      <c r="L66" t="b">
        <f>FALSE()</f>
        <v>0</v>
      </c>
      <c r="M66" t="s">
        <v>144</v>
      </c>
    </row>
    <row r="67" spans="1:13" ht="15" customHeight="1" x14ac:dyDescent="0.3">
      <c r="A67">
        <v>9</v>
      </c>
      <c r="B67">
        <v>53443</v>
      </c>
      <c r="C67">
        <v>2090</v>
      </c>
      <c r="D67">
        <v>282662</v>
      </c>
      <c r="E67">
        <v>10948</v>
      </c>
      <c r="F67">
        <v>336105</v>
      </c>
      <c r="G67">
        <v>13038</v>
      </c>
      <c r="H67" t="s">
        <v>182</v>
      </c>
      <c r="I67" t="s">
        <v>40</v>
      </c>
      <c r="J67">
        <v>29.947199999999999</v>
      </c>
      <c r="K67">
        <v>31.2742</v>
      </c>
      <c r="L67" t="b">
        <f>FALSE()</f>
        <v>0</v>
      </c>
      <c r="M67" t="s">
        <v>144</v>
      </c>
    </row>
    <row r="68" spans="1:13" ht="15" customHeight="1" x14ac:dyDescent="0.3">
      <c r="A68">
        <v>46</v>
      </c>
      <c r="B68">
        <v>52880</v>
      </c>
      <c r="C68">
        <v>2109</v>
      </c>
      <c r="D68">
        <v>282922</v>
      </c>
      <c r="E68">
        <v>10885</v>
      </c>
      <c r="F68">
        <v>335802</v>
      </c>
      <c r="G68">
        <v>12994</v>
      </c>
      <c r="H68" t="s">
        <v>183</v>
      </c>
      <c r="I68" t="s">
        <v>43</v>
      </c>
      <c r="J68">
        <v>30.0961</v>
      </c>
      <c r="K68">
        <v>31.226700000000001</v>
      </c>
      <c r="L68" t="b">
        <f>FALSE()</f>
        <v>0</v>
      </c>
      <c r="M68" t="s">
        <v>144</v>
      </c>
    </row>
    <row r="69" spans="1:13" ht="15" customHeight="1" x14ac:dyDescent="0.3">
      <c r="A69">
        <v>56</v>
      </c>
      <c r="B69">
        <v>56208</v>
      </c>
      <c r="C69">
        <v>2153</v>
      </c>
      <c r="D69">
        <v>279272</v>
      </c>
      <c r="E69">
        <v>10853</v>
      </c>
      <c r="F69">
        <v>335480</v>
      </c>
      <c r="G69">
        <v>13006</v>
      </c>
      <c r="H69" t="s">
        <v>184</v>
      </c>
      <c r="I69" t="s">
        <v>38</v>
      </c>
      <c r="J69">
        <v>30.12</v>
      </c>
      <c r="K69">
        <v>31.3278</v>
      </c>
      <c r="L69" t="b">
        <f>FALSE()</f>
        <v>0</v>
      </c>
      <c r="M69" t="s">
        <v>146</v>
      </c>
    </row>
    <row r="70" spans="1:13" ht="15" customHeight="1" x14ac:dyDescent="0.3">
      <c r="A70">
        <v>12</v>
      </c>
      <c r="B70">
        <v>55922</v>
      </c>
      <c r="C70">
        <v>2134</v>
      </c>
      <c r="D70">
        <v>279224</v>
      </c>
      <c r="E70">
        <v>10918</v>
      </c>
      <c r="F70">
        <v>335146</v>
      </c>
      <c r="G70">
        <v>13052</v>
      </c>
      <c r="H70" t="s">
        <v>185</v>
      </c>
      <c r="I70" t="s">
        <v>40</v>
      </c>
      <c r="J70">
        <v>29.97</v>
      </c>
      <c r="K70">
        <v>31.250599999999999</v>
      </c>
      <c r="L70" t="b">
        <f>FALSE()</f>
        <v>0</v>
      </c>
      <c r="M70" t="s">
        <v>146</v>
      </c>
    </row>
    <row r="71" spans="1:13" ht="15" customHeight="1" x14ac:dyDescent="0.3">
      <c r="A71">
        <v>26</v>
      </c>
      <c r="B71">
        <v>53088</v>
      </c>
      <c r="C71">
        <v>2091</v>
      </c>
      <c r="D71">
        <v>282048</v>
      </c>
      <c r="E71">
        <v>10883</v>
      </c>
      <c r="F71">
        <v>335136</v>
      </c>
      <c r="G71">
        <v>12974</v>
      </c>
      <c r="H71" t="s">
        <v>186</v>
      </c>
      <c r="I71" t="s">
        <v>40</v>
      </c>
      <c r="J71">
        <v>30.1083</v>
      </c>
      <c r="K71">
        <v>31.3111</v>
      </c>
      <c r="L71" t="b">
        <f>FALSE()</f>
        <v>0</v>
      </c>
      <c r="M71" t="s">
        <v>144</v>
      </c>
    </row>
    <row r="72" spans="1:13" ht="15" customHeight="1" x14ac:dyDescent="0.3">
      <c r="A72">
        <v>48</v>
      </c>
      <c r="B72">
        <v>55019</v>
      </c>
      <c r="C72">
        <v>2122</v>
      </c>
      <c r="D72">
        <v>280106</v>
      </c>
      <c r="E72">
        <v>10763</v>
      </c>
      <c r="F72">
        <v>335125</v>
      </c>
      <c r="G72">
        <v>12885</v>
      </c>
      <c r="H72" t="s">
        <v>187</v>
      </c>
      <c r="I72" t="s">
        <v>43</v>
      </c>
      <c r="J72">
        <v>30.111699999999999</v>
      </c>
      <c r="K72">
        <v>31.218900000000001</v>
      </c>
      <c r="L72" t="b">
        <f>FALSE()</f>
        <v>0</v>
      </c>
      <c r="M72" t="s">
        <v>146</v>
      </c>
    </row>
    <row r="73" spans="1:13" ht="15" customHeight="1" x14ac:dyDescent="0.3">
      <c r="A73">
        <v>6</v>
      </c>
      <c r="B73">
        <v>53902</v>
      </c>
      <c r="C73">
        <v>2113</v>
      </c>
      <c r="D73">
        <v>280433</v>
      </c>
      <c r="E73">
        <v>10873</v>
      </c>
      <c r="F73">
        <v>334335</v>
      </c>
      <c r="G73">
        <v>12986</v>
      </c>
      <c r="H73" t="s">
        <v>188</v>
      </c>
      <c r="I73" t="s">
        <v>40</v>
      </c>
      <c r="J73">
        <v>29.9056</v>
      </c>
      <c r="K73">
        <v>31.299700000000001</v>
      </c>
      <c r="L73" t="b">
        <f>FALSE()</f>
        <v>0</v>
      </c>
      <c r="M73" t="s">
        <v>144</v>
      </c>
    </row>
    <row r="74" spans="1:13" ht="15" customHeight="1" x14ac:dyDescent="0.3">
      <c r="A74">
        <v>66</v>
      </c>
      <c r="B74">
        <v>56120</v>
      </c>
      <c r="C74">
        <v>2147</v>
      </c>
      <c r="D74">
        <v>277977</v>
      </c>
      <c r="E74">
        <v>10682</v>
      </c>
      <c r="F74">
        <v>334097</v>
      </c>
      <c r="G74">
        <v>12829</v>
      </c>
      <c r="H74" t="s">
        <v>189</v>
      </c>
      <c r="I74" t="s">
        <v>38</v>
      </c>
      <c r="J74">
        <v>30.047799999999999</v>
      </c>
      <c r="K74">
        <v>31.2544</v>
      </c>
      <c r="L74" t="b">
        <f>FALSE()</f>
        <v>0</v>
      </c>
      <c r="M74" t="s">
        <v>146</v>
      </c>
    </row>
    <row r="75" spans="1:13" ht="15" customHeight="1" x14ac:dyDescent="0.3">
      <c r="A75">
        <v>22</v>
      </c>
      <c r="B75">
        <v>57294</v>
      </c>
      <c r="C75">
        <v>2216</v>
      </c>
      <c r="D75">
        <v>275862</v>
      </c>
      <c r="E75">
        <v>10709</v>
      </c>
      <c r="F75">
        <v>333156</v>
      </c>
      <c r="G75">
        <v>12925</v>
      </c>
      <c r="H75" t="s">
        <v>190</v>
      </c>
      <c r="I75" t="s">
        <v>40</v>
      </c>
      <c r="J75">
        <v>30.081700000000001</v>
      </c>
      <c r="K75">
        <v>31.2883</v>
      </c>
      <c r="L75" t="b">
        <f>FALSE()</f>
        <v>0</v>
      </c>
      <c r="M75" t="s">
        <v>144</v>
      </c>
    </row>
    <row r="76" spans="1:13" ht="15" customHeight="1" x14ac:dyDescent="0.3">
      <c r="A76">
        <v>15</v>
      </c>
      <c r="B76">
        <v>55313</v>
      </c>
      <c r="C76">
        <v>2264</v>
      </c>
      <c r="D76">
        <v>277493</v>
      </c>
      <c r="E76">
        <v>10832</v>
      </c>
      <c r="F76">
        <v>332806</v>
      </c>
      <c r="G76">
        <v>13096</v>
      </c>
      <c r="H76" t="s">
        <v>191</v>
      </c>
      <c r="I76" t="s">
        <v>40</v>
      </c>
      <c r="J76">
        <v>30.0061</v>
      </c>
      <c r="K76">
        <v>31.229700000000001</v>
      </c>
      <c r="L76" t="b">
        <f>FALSE()</f>
        <v>0</v>
      </c>
      <c r="M76" t="s">
        <v>146</v>
      </c>
    </row>
    <row r="77" spans="1:13" ht="15" customHeight="1" x14ac:dyDescent="0.3">
      <c r="A77">
        <v>5</v>
      </c>
      <c r="B77">
        <v>55872</v>
      </c>
      <c r="C77">
        <v>2152</v>
      </c>
      <c r="D77">
        <v>276755</v>
      </c>
      <c r="E77">
        <v>10885</v>
      </c>
      <c r="F77">
        <v>332627</v>
      </c>
      <c r="G77">
        <v>13037</v>
      </c>
      <c r="H77" t="s">
        <v>192</v>
      </c>
      <c r="I77" t="s">
        <v>40</v>
      </c>
      <c r="J77">
        <v>29.897200000000002</v>
      </c>
      <c r="K77">
        <v>31.3047</v>
      </c>
      <c r="L77" t="b">
        <f>FALSE()</f>
        <v>0</v>
      </c>
      <c r="M77" t="s">
        <v>144</v>
      </c>
    </row>
    <row r="78" spans="1:13" ht="15" customHeight="1" x14ac:dyDescent="0.3">
      <c r="A78">
        <v>57</v>
      </c>
      <c r="B78">
        <v>56017</v>
      </c>
      <c r="C78">
        <v>2188</v>
      </c>
      <c r="D78">
        <v>276343</v>
      </c>
      <c r="E78">
        <v>10832</v>
      </c>
      <c r="F78">
        <v>332360</v>
      </c>
      <c r="G78">
        <v>13020</v>
      </c>
      <c r="H78" t="s">
        <v>193</v>
      </c>
      <c r="I78" t="s">
        <v>38</v>
      </c>
      <c r="J78">
        <v>30.109400000000001</v>
      </c>
      <c r="K78">
        <v>31.314699999999998</v>
      </c>
      <c r="L78" t="b">
        <f>FALSE()</f>
        <v>0</v>
      </c>
      <c r="M78" t="s">
        <v>146</v>
      </c>
    </row>
    <row r="79" spans="1:13" ht="15" customHeight="1" x14ac:dyDescent="0.3">
      <c r="A79">
        <v>59</v>
      </c>
      <c r="B79">
        <v>54426</v>
      </c>
      <c r="C79">
        <v>2096</v>
      </c>
      <c r="D79">
        <v>277668</v>
      </c>
      <c r="E79">
        <v>10876</v>
      </c>
      <c r="F79">
        <v>332094</v>
      </c>
      <c r="G79">
        <v>12972</v>
      </c>
      <c r="H79" t="s">
        <v>194</v>
      </c>
      <c r="I79" t="s">
        <v>38</v>
      </c>
      <c r="J79">
        <v>30.084399999999999</v>
      </c>
      <c r="K79">
        <v>31.301100000000002</v>
      </c>
      <c r="L79" t="b">
        <f>FALSE()</f>
        <v>0</v>
      </c>
      <c r="M79" t="s">
        <v>144</v>
      </c>
    </row>
    <row r="80" spans="1:13" ht="15" customHeight="1" x14ac:dyDescent="0.3">
      <c r="A80">
        <v>28</v>
      </c>
      <c r="B80">
        <v>56051</v>
      </c>
      <c r="C80">
        <v>2122</v>
      </c>
      <c r="D80">
        <v>274710</v>
      </c>
      <c r="E80">
        <v>10704</v>
      </c>
      <c r="F80">
        <v>330761</v>
      </c>
      <c r="G80">
        <v>12826</v>
      </c>
      <c r="H80" t="s">
        <v>195</v>
      </c>
      <c r="I80" t="s">
        <v>40</v>
      </c>
      <c r="J80">
        <v>30.121700000000001</v>
      </c>
      <c r="K80">
        <v>31.322199999999999</v>
      </c>
      <c r="L80" t="b">
        <f>FALSE()</f>
        <v>0</v>
      </c>
      <c r="M80" t="s">
        <v>144</v>
      </c>
    </row>
    <row r="81" spans="1:13" ht="15" customHeight="1" x14ac:dyDescent="0.3">
      <c r="A81">
        <v>53</v>
      </c>
      <c r="B81">
        <v>53365</v>
      </c>
      <c r="C81">
        <v>2102</v>
      </c>
      <c r="D81">
        <v>273956</v>
      </c>
      <c r="E81">
        <v>10717</v>
      </c>
      <c r="F81">
        <v>327321</v>
      </c>
      <c r="G81">
        <v>12819</v>
      </c>
      <c r="H81" t="s">
        <v>196</v>
      </c>
      <c r="I81" t="s">
        <v>38</v>
      </c>
      <c r="J81">
        <v>30.1372</v>
      </c>
      <c r="K81">
        <v>31.373100000000001</v>
      </c>
      <c r="L81" t="b">
        <f>FALSE()</f>
        <v>0</v>
      </c>
      <c r="M81" t="s">
        <v>144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80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14" customWidth="1"/>
    <col min="3" max="3" width="12" customWidth="1"/>
    <col min="4" max="4" width="18" customWidth="1"/>
    <col min="5" max="5" width="26" customWidth="1"/>
    <col min="6" max="6" width="24" customWidth="1"/>
    <col min="7" max="7" width="20" customWidth="1"/>
    <col min="8" max="8" width="24" customWidth="1"/>
  </cols>
  <sheetData>
    <row r="1" spans="1:8" ht="15" customHeight="1" x14ac:dyDescent="0.3">
      <c r="A1" s="8" t="s">
        <v>117</v>
      </c>
      <c r="B1" s="8" t="s">
        <v>122</v>
      </c>
      <c r="C1" s="8" t="s">
        <v>123</v>
      </c>
      <c r="D1" s="8" t="s">
        <v>197</v>
      </c>
      <c r="E1" s="8" t="s">
        <v>198</v>
      </c>
      <c r="F1" s="8" t="s">
        <v>199</v>
      </c>
      <c r="G1" s="8" t="s">
        <v>200</v>
      </c>
      <c r="H1" s="8" t="s">
        <v>201</v>
      </c>
    </row>
    <row r="2" spans="1:8" ht="15" customHeight="1" x14ac:dyDescent="0.3">
      <c r="A2">
        <v>18</v>
      </c>
      <c r="B2" t="s">
        <v>39</v>
      </c>
      <c r="C2" t="s">
        <v>40</v>
      </c>
      <c r="D2">
        <v>32</v>
      </c>
      <c r="E2">
        <v>2442</v>
      </c>
      <c r="F2">
        <v>76.3125</v>
      </c>
      <c r="G2" t="s">
        <v>202</v>
      </c>
      <c r="H2" t="s">
        <v>203</v>
      </c>
    </row>
    <row r="3" spans="1:8" ht="15" customHeight="1" x14ac:dyDescent="0.3">
      <c r="A3">
        <v>38</v>
      </c>
      <c r="B3" t="s">
        <v>44</v>
      </c>
      <c r="C3" t="s">
        <v>43</v>
      </c>
      <c r="D3">
        <v>27</v>
      </c>
      <c r="E3">
        <v>2372</v>
      </c>
      <c r="F3">
        <v>87.851851851851904</v>
      </c>
      <c r="G3" t="s">
        <v>204</v>
      </c>
      <c r="H3" t="s">
        <v>205</v>
      </c>
    </row>
    <row r="4" spans="1:8" ht="15" customHeight="1" x14ac:dyDescent="0.3">
      <c r="A4">
        <v>29</v>
      </c>
      <c r="B4" t="s">
        <v>47</v>
      </c>
      <c r="C4" t="s">
        <v>40</v>
      </c>
      <c r="D4">
        <v>26</v>
      </c>
      <c r="E4">
        <v>2239</v>
      </c>
      <c r="F4">
        <v>86.115384615384599</v>
      </c>
      <c r="G4" t="s">
        <v>206</v>
      </c>
      <c r="H4" t="s">
        <v>207</v>
      </c>
    </row>
    <row r="5" spans="1:8" ht="15" customHeight="1" x14ac:dyDescent="0.3">
      <c r="A5">
        <v>68</v>
      </c>
      <c r="B5" t="s">
        <v>50</v>
      </c>
      <c r="C5" t="s">
        <v>38</v>
      </c>
      <c r="D5">
        <v>25</v>
      </c>
      <c r="E5">
        <v>1884</v>
      </c>
      <c r="F5">
        <v>75.36</v>
      </c>
      <c r="G5" t="s">
        <v>208</v>
      </c>
      <c r="H5" t="s">
        <v>209</v>
      </c>
    </row>
    <row r="6" spans="1:8" ht="15" customHeight="1" x14ac:dyDescent="0.3">
      <c r="A6">
        <v>58</v>
      </c>
      <c r="B6" t="s">
        <v>53</v>
      </c>
      <c r="C6" t="s">
        <v>38</v>
      </c>
      <c r="D6">
        <v>27</v>
      </c>
      <c r="E6">
        <v>1878</v>
      </c>
      <c r="F6">
        <v>69.5555555555556</v>
      </c>
      <c r="G6" t="s">
        <v>208</v>
      </c>
      <c r="H6" t="s">
        <v>205</v>
      </c>
    </row>
    <row r="7" spans="1:8" ht="15" customHeight="1" x14ac:dyDescent="0.3">
      <c r="A7">
        <v>17</v>
      </c>
      <c r="B7" t="s">
        <v>88</v>
      </c>
      <c r="C7" t="s">
        <v>40</v>
      </c>
      <c r="D7">
        <v>23</v>
      </c>
      <c r="E7">
        <v>1836</v>
      </c>
      <c r="F7">
        <v>79.826086956521706</v>
      </c>
      <c r="G7" t="s">
        <v>202</v>
      </c>
      <c r="H7" t="s">
        <v>210</v>
      </c>
    </row>
    <row r="8" spans="1:8" ht="15" customHeight="1" x14ac:dyDescent="0.3">
      <c r="A8">
        <v>40</v>
      </c>
      <c r="B8" t="s">
        <v>42</v>
      </c>
      <c r="C8" t="s">
        <v>43</v>
      </c>
      <c r="D8">
        <v>25</v>
      </c>
      <c r="E8">
        <v>1790</v>
      </c>
      <c r="F8">
        <v>71.599999999999994</v>
      </c>
      <c r="G8" t="s">
        <v>208</v>
      </c>
      <c r="H8" t="s">
        <v>203</v>
      </c>
    </row>
    <row r="9" spans="1:8" ht="15" customHeight="1" x14ac:dyDescent="0.3">
      <c r="A9">
        <v>78</v>
      </c>
      <c r="B9" t="s">
        <v>89</v>
      </c>
      <c r="C9" t="s">
        <v>82</v>
      </c>
      <c r="D9">
        <v>26</v>
      </c>
      <c r="E9">
        <v>1634</v>
      </c>
      <c r="F9">
        <v>62.846153846153904</v>
      </c>
      <c r="G9" t="s">
        <v>211</v>
      </c>
      <c r="H9" t="s">
        <v>209</v>
      </c>
    </row>
    <row r="10" spans="1:8" ht="15" customHeight="1" x14ac:dyDescent="0.3">
      <c r="A10">
        <v>64</v>
      </c>
      <c r="B10" t="s">
        <v>37</v>
      </c>
      <c r="C10" t="s">
        <v>38</v>
      </c>
      <c r="D10">
        <v>26</v>
      </c>
      <c r="E10">
        <v>1596</v>
      </c>
      <c r="F10">
        <v>61.384615384615401</v>
      </c>
      <c r="G10" t="s">
        <v>202</v>
      </c>
      <c r="H10" t="s">
        <v>212</v>
      </c>
    </row>
    <row r="11" spans="1:8" ht="15" customHeight="1" x14ac:dyDescent="0.3">
      <c r="A11">
        <v>77</v>
      </c>
      <c r="B11" t="s">
        <v>81</v>
      </c>
      <c r="C11" t="s">
        <v>82</v>
      </c>
      <c r="D11">
        <v>23</v>
      </c>
      <c r="E11">
        <v>1551</v>
      </c>
      <c r="F11">
        <v>67.434782608695699</v>
      </c>
      <c r="G11" t="s">
        <v>211</v>
      </c>
      <c r="H11" t="s">
        <v>209</v>
      </c>
    </row>
    <row r="12" spans="1:8" ht="15" customHeight="1" x14ac:dyDescent="0.3">
      <c r="A12">
        <v>80</v>
      </c>
      <c r="B12" t="s">
        <v>131</v>
      </c>
      <c r="C12" t="s">
        <v>132</v>
      </c>
      <c r="D12">
        <v>17</v>
      </c>
      <c r="E12">
        <v>1495</v>
      </c>
      <c r="F12">
        <v>87.941176470588204</v>
      </c>
      <c r="G12" t="s">
        <v>206</v>
      </c>
      <c r="H12" t="s">
        <v>213</v>
      </c>
    </row>
    <row r="13" spans="1:8" ht="15" customHeight="1" x14ac:dyDescent="0.3">
      <c r="A13">
        <v>79</v>
      </c>
      <c r="B13" t="s">
        <v>137</v>
      </c>
      <c r="C13" t="s">
        <v>138</v>
      </c>
      <c r="D13">
        <v>24</v>
      </c>
      <c r="E13">
        <v>1494</v>
      </c>
      <c r="F13">
        <v>62.25</v>
      </c>
      <c r="G13" t="s">
        <v>214</v>
      </c>
      <c r="H13" t="s">
        <v>213</v>
      </c>
    </row>
    <row r="14" spans="1:8" ht="15" customHeight="1" x14ac:dyDescent="0.3">
      <c r="A14">
        <v>33</v>
      </c>
      <c r="B14" t="s">
        <v>46</v>
      </c>
      <c r="C14" t="s">
        <v>43</v>
      </c>
      <c r="D14">
        <v>21</v>
      </c>
      <c r="E14">
        <v>1384</v>
      </c>
      <c r="F14">
        <v>65.904761904761898</v>
      </c>
      <c r="G14" t="s">
        <v>214</v>
      </c>
      <c r="H14" t="s">
        <v>207</v>
      </c>
    </row>
    <row r="15" spans="1:8" ht="15" customHeight="1" x14ac:dyDescent="0.3">
      <c r="A15">
        <v>49</v>
      </c>
      <c r="B15" t="s">
        <v>133</v>
      </c>
      <c r="C15" t="s">
        <v>43</v>
      </c>
      <c r="D15">
        <v>17</v>
      </c>
      <c r="E15">
        <v>1375</v>
      </c>
      <c r="F15">
        <v>80.882352941176507</v>
      </c>
      <c r="G15" t="s">
        <v>215</v>
      </c>
      <c r="H15" t="s">
        <v>210</v>
      </c>
    </row>
    <row r="16" spans="1:8" ht="15" customHeight="1" x14ac:dyDescent="0.3">
      <c r="A16">
        <v>16</v>
      </c>
      <c r="B16" t="s">
        <v>85</v>
      </c>
      <c r="C16" t="s">
        <v>40</v>
      </c>
      <c r="D16">
        <v>22</v>
      </c>
      <c r="E16">
        <v>1349</v>
      </c>
      <c r="F16">
        <v>61.318181818181799</v>
      </c>
      <c r="G16" t="s">
        <v>215</v>
      </c>
      <c r="H16" t="s">
        <v>209</v>
      </c>
    </row>
    <row r="17" spans="1:8" ht="15" customHeight="1" x14ac:dyDescent="0.3">
      <c r="A17">
        <v>41</v>
      </c>
      <c r="B17" t="s">
        <v>130</v>
      </c>
      <c r="C17" t="s">
        <v>43</v>
      </c>
      <c r="D17">
        <v>23</v>
      </c>
      <c r="E17">
        <v>1327</v>
      </c>
      <c r="F17">
        <v>57.695652173913103</v>
      </c>
      <c r="G17" t="s">
        <v>216</v>
      </c>
      <c r="H17" t="s">
        <v>217</v>
      </c>
    </row>
    <row r="18" spans="1:8" ht="15" customHeight="1" x14ac:dyDescent="0.3">
      <c r="A18">
        <v>20</v>
      </c>
      <c r="B18" t="s">
        <v>141</v>
      </c>
      <c r="C18" t="s">
        <v>40</v>
      </c>
      <c r="D18">
        <v>19</v>
      </c>
      <c r="E18">
        <v>1299</v>
      </c>
      <c r="F18">
        <v>68.368421052631604</v>
      </c>
      <c r="G18" t="s">
        <v>206</v>
      </c>
      <c r="H18" t="s">
        <v>203</v>
      </c>
    </row>
    <row r="19" spans="1:8" ht="15" customHeight="1" x14ac:dyDescent="0.3">
      <c r="A19">
        <v>67</v>
      </c>
      <c r="B19" t="s">
        <v>52</v>
      </c>
      <c r="C19" t="s">
        <v>38</v>
      </c>
      <c r="D19">
        <v>19</v>
      </c>
      <c r="E19">
        <v>1240</v>
      </c>
      <c r="F19">
        <v>65.263157894736807</v>
      </c>
      <c r="G19" t="s">
        <v>215</v>
      </c>
      <c r="H19" t="s">
        <v>203</v>
      </c>
    </row>
    <row r="20" spans="1:8" ht="15" customHeight="1" x14ac:dyDescent="0.3">
      <c r="A20">
        <v>72</v>
      </c>
      <c r="B20" t="s">
        <v>54</v>
      </c>
      <c r="C20" t="s">
        <v>38</v>
      </c>
      <c r="D20">
        <v>20</v>
      </c>
      <c r="E20">
        <v>1103</v>
      </c>
      <c r="F20">
        <v>55.15</v>
      </c>
      <c r="G20" t="s">
        <v>206</v>
      </c>
      <c r="H20" t="s">
        <v>210</v>
      </c>
    </row>
    <row r="21" spans="1:8" ht="15" customHeight="1" x14ac:dyDescent="0.3">
      <c r="A21">
        <v>21</v>
      </c>
      <c r="B21" t="s">
        <v>140</v>
      </c>
      <c r="C21" t="s">
        <v>40</v>
      </c>
      <c r="D21">
        <v>17</v>
      </c>
      <c r="E21">
        <v>1070</v>
      </c>
      <c r="F21">
        <v>62.941176470588204</v>
      </c>
      <c r="G21" t="s">
        <v>214</v>
      </c>
      <c r="H21" t="s">
        <v>212</v>
      </c>
    </row>
    <row r="22" spans="1:8" ht="15" customHeight="1" x14ac:dyDescent="0.3">
      <c r="A22">
        <v>15</v>
      </c>
      <c r="B22" t="s">
        <v>191</v>
      </c>
      <c r="C22" t="s">
        <v>40</v>
      </c>
      <c r="D22">
        <v>4</v>
      </c>
      <c r="E22">
        <v>1053</v>
      </c>
      <c r="F22">
        <v>263.25</v>
      </c>
      <c r="G22" t="s">
        <v>202</v>
      </c>
      <c r="H22" t="s">
        <v>205</v>
      </c>
    </row>
    <row r="23" spans="1:8" ht="15" customHeight="1" x14ac:dyDescent="0.3">
      <c r="A23">
        <v>62</v>
      </c>
      <c r="B23" t="s">
        <v>135</v>
      </c>
      <c r="C23" t="s">
        <v>38</v>
      </c>
      <c r="D23">
        <v>17</v>
      </c>
      <c r="E23">
        <v>1045</v>
      </c>
      <c r="F23">
        <v>61.470588235294102</v>
      </c>
      <c r="G23" t="s">
        <v>215</v>
      </c>
      <c r="H23" t="s">
        <v>210</v>
      </c>
    </row>
    <row r="24" spans="1:8" ht="15" customHeight="1" x14ac:dyDescent="0.3">
      <c r="A24">
        <v>37</v>
      </c>
      <c r="B24" t="s">
        <v>136</v>
      </c>
      <c r="C24" t="s">
        <v>43</v>
      </c>
      <c r="D24">
        <v>22</v>
      </c>
      <c r="E24">
        <v>1043</v>
      </c>
      <c r="F24">
        <v>47.409090909090899</v>
      </c>
      <c r="G24" t="s">
        <v>216</v>
      </c>
      <c r="H24" t="s">
        <v>207</v>
      </c>
    </row>
    <row r="25" spans="1:8" ht="15" customHeight="1" x14ac:dyDescent="0.3">
      <c r="A25">
        <v>36</v>
      </c>
      <c r="B25" t="s">
        <v>134</v>
      </c>
      <c r="C25" t="s">
        <v>43</v>
      </c>
      <c r="D25">
        <v>22</v>
      </c>
      <c r="E25">
        <v>1008</v>
      </c>
      <c r="F25">
        <v>45.818181818181799</v>
      </c>
      <c r="G25" t="s">
        <v>206</v>
      </c>
      <c r="H25" t="s">
        <v>207</v>
      </c>
    </row>
    <row r="26" spans="1:8" ht="15" customHeight="1" x14ac:dyDescent="0.3">
      <c r="A26">
        <v>3</v>
      </c>
      <c r="B26" t="s">
        <v>56</v>
      </c>
      <c r="C26" t="s">
        <v>40</v>
      </c>
      <c r="D26">
        <v>20</v>
      </c>
      <c r="E26">
        <v>995</v>
      </c>
      <c r="F26">
        <v>49.75</v>
      </c>
      <c r="G26" t="s">
        <v>208</v>
      </c>
      <c r="H26" t="s">
        <v>213</v>
      </c>
    </row>
    <row r="27" spans="1:8" ht="15" customHeight="1" x14ac:dyDescent="0.3">
      <c r="A27">
        <v>44</v>
      </c>
      <c r="B27" t="s">
        <v>55</v>
      </c>
      <c r="C27" t="s">
        <v>43</v>
      </c>
      <c r="D27">
        <v>21</v>
      </c>
      <c r="E27">
        <v>957</v>
      </c>
      <c r="F27">
        <v>45.571428571428598</v>
      </c>
      <c r="G27" t="s">
        <v>204</v>
      </c>
      <c r="H27" t="s">
        <v>210</v>
      </c>
    </row>
    <row r="28" spans="1:8" ht="15" customHeight="1" x14ac:dyDescent="0.3">
      <c r="A28">
        <v>70</v>
      </c>
      <c r="B28" t="s">
        <v>49</v>
      </c>
      <c r="C28" t="s">
        <v>38</v>
      </c>
      <c r="D28">
        <v>22</v>
      </c>
      <c r="E28">
        <v>896</v>
      </c>
      <c r="F28">
        <v>40.727272727272698</v>
      </c>
      <c r="G28" t="s">
        <v>215</v>
      </c>
      <c r="H28" t="s">
        <v>203</v>
      </c>
    </row>
    <row r="29" spans="1:8" ht="15" customHeight="1" x14ac:dyDescent="0.3">
      <c r="A29">
        <v>11</v>
      </c>
      <c r="B29" t="s">
        <v>139</v>
      </c>
      <c r="C29" t="s">
        <v>40</v>
      </c>
      <c r="D29">
        <v>24</v>
      </c>
      <c r="E29">
        <v>895</v>
      </c>
      <c r="F29">
        <v>37.2916666666667</v>
      </c>
      <c r="G29" t="s">
        <v>202</v>
      </c>
      <c r="H29" t="s">
        <v>207</v>
      </c>
    </row>
    <row r="30" spans="1:8" ht="15" customHeight="1" x14ac:dyDescent="0.3">
      <c r="A30">
        <v>50</v>
      </c>
      <c r="B30" t="s">
        <v>84</v>
      </c>
      <c r="C30" t="s">
        <v>38</v>
      </c>
      <c r="D30">
        <v>17</v>
      </c>
      <c r="E30">
        <v>801</v>
      </c>
      <c r="F30">
        <v>47.117647058823501</v>
      </c>
      <c r="G30" t="s">
        <v>204</v>
      </c>
      <c r="H30" t="s">
        <v>213</v>
      </c>
    </row>
    <row r="31" spans="1:8" ht="15" customHeight="1" x14ac:dyDescent="0.3">
      <c r="A31">
        <v>55</v>
      </c>
      <c r="B31" t="s">
        <v>142</v>
      </c>
      <c r="C31" t="s">
        <v>38</v>
      </c>
      <c r="D31">
        <v>17</v>
      </c>
      <c r="E31">
        <v>736</v>
      </c>
      <c r="F31">
        <v>43.294117647058798</v>
      </c>
      <c r="G31" t="s">
        <v>204</v>
      </c>
      <c r="H31" t="s">
        <v>213</v>
      </c>
    </row>
    <row r="32" spans="1:8" ht="15" customHeight="1" x14ac:dyDescent="0.3">
      <c r="A32">
        <v>32</v>
      </c>
      <c r="B32" t="s">
        <v>158</v>
      </c>
      <c r="C32" t="s">
        <v>40</v>
      </c>
      <c r="D32">
        <v>6</v>
      </c>
      <c r="E32">
        <v>694</v>
      </c>
      <c r="F32">
        <v>115.666666666667</v>
      </c>
      <c r="G32" t="s">
        <v>211</v>
      </c>
      <c r="H32" t="s">
        <v>209</v>
      </c>
    </row>
    <row r="33" spans="1:8" ht="15" customHeight="1" x14ac:dyDescent="0.3">
      <c r="A33">
        <v>23</v>
      </c>
      <c r="B33" t="s">
        <v>164</v>
      </c>
      <c r="C33" t="s">
        <v>40</v>
      </c>
      <c r="D33">
        <v>6</v>
      </c>
      <c r="E33">
        <v>688</v>
      </c>
      <c r="F33">
        <v>114.666666666667</v>
      </c>
      <c r="G33" t="s">
        <v>208</v>
      </c>
      <c r="H33" t="s">
        <v>205</v>
      </c>
    </row>
    <row r="34" spans="1:8" ht="15" customHeight="1" x14ac:dyDescent="0.3">
      <c r="A34">
        <v>13</v>
      </c>
      <c r="B34" t="s">
        <v>160</v>
      </c>
      <c r="C34" t="s">
        <v>40</v>
      </c>
      <c r="D34">
        <v>4</v>
      </c>
      <c r="E34">
        <v>617</v>
      </c>
      <c r="F34">
        <v>154.25</v>
      </c>
      <c r="G34" t="s">
        <v>204</v>
      </c>
      <c r="H34" t="s">
        <v>210</v>
      </c>
    </row>
    <row r="35" spans="1:8" ht="15" customHeight="1" x14ac:dyDescent="0.3">
      <c r="A35">
        <v>66</v>
      </c>
      <c r="B35" t="s">
        <v>189</v>
      </c>
      <c r="C35" t="s">
        <v>38</v>
      </c>
      <c r="D35">
        <v>4</v>
      </c>
      <c r="E35">
        <v>541</v>
      </c>
      <c r="F35">
        <v>135.25</v>
      </c>
      <c r="G35" t="s">
        <v>214</v>
      </c>
      <c r="H35" t="s">
        <v>205</v>
      </c>
    </row>
    <row r="36" spans="1:8" ht="15" customHeight="1" x14ac:dyDescent="0.3">
      <c r="A36">
        <v>69</v>
      </c>
      <c r="B36" t="s">
        <v>170</v>
      </c>
      <c r="C36" t="s">
        <v>38</v>
      </c>
      <c r="D36">
        <v>3</v>
      </c>
      <c r="E36">
        <v>499</v>
      </c>
      <c r="F36">
        <v>166.333333333333</v>
      </c>
      <c r="G36" t="s">
        <v>206</v>
      </c>
      <c r="H36" t="s">
        <v>212</v>
      </c>
    </row>
    <row r="37" spans="1:8" ht="15" customHeight="1" x14ac:dyDescent="0.3">
      <c r="A37">
        <v>7</v>
      </c>
      <c r="B37" t="s">
        <v>173</v>
      </c>
      <c r="C37" t="s">
        <v>40</v>
      </c>
      <c r="D37">
        <v>5</v>
      </c>
      <c r="E37">
        <v>463</v>
      </c>
      <c r="F37">
        <v>92.6</v>
      </c>
      <c r="G37" t="s">
        <v>214</v>
      </c>
      <c r="H37" t="s">
        <v>210</v>
      </c>
    </row>
    <row r="38" spans="1:8" ht="15" customHeight="1" x14ac:dyDescent="0.3">
      <c r="A38">
        <v>76</v>
      </c>
      <c r="B38" t="s">
        <v>176</v>
      </c>
      <c r="C38" t="s">
        <v>38</v>
      </c>
      <c r="D38">
        <v>5</v>
      </c>
      <c r="E38">
        <v>406</v>
      </c>
      <c r="F38">
        <v>81.2</v>
      </c>
      <c r="G38" t="s">
        <v>202</v>
      </c>
      <c r="H38" t="s">
        <v>205</v>
      </c>
    </row>
    <row r="39" spans="1:8" ht="15" customHeight="1" x14ac:dyDescent="0.3">
      <c r="A39">
        <v>42</v>
      </c>
      <c r="B39" t="s">
        <v>166</v>
      </c>
      <c r="C39" t="s">
        <v>43</v>
      </c>
      <c r="D39">
        <v>9</v>
      </c>
      <c r="E39">
        <v>387</v>
      </c>
      <c r="F39">
        <v>43</v>
      </c>
      <c r="G39" t="s">
        <v>206</v>
      </c>
      <c r="H39" t="s">
        <v>207</v>
      </c>
    </row>
    <row r="40" spans="1:8" ht="15" customHeight="1" x14ac:dyDescent="0.3">
      <c r="A40">
        <v>43</v>
      </c>
      <c r="B40" t="s">
        <v>167</v>
      </c>
      <c r="C40" t="s">
        <v>43</v>
      </c>
      <c r="D40">
        <v>6</v>
      </c>
      <c r="E40">
        <v>353</v>
      </c>
      <c r="F40">
        <v>58.8333333333333</v>
      </c>
      <c r="G40" t="s">
        <v>204</v>
      </c>
      <c r="H40" t="s">
        <v>205</v>
      </c>
    </row>
    <row r="41" spans="1:8" ht="15" customHeight="1" x14ac:dyDescent="0.3">
      <c r="A41">
        <v>2</v>
      </c>
      <c r="B41" t="s">
        <v>165</v>
      </c>
      <c r="C41" t="s">
        <v>40</v>
      </c>
      <c r="D41">
        <v>3</v>
      </c>
      <c r="E41">
        <v>339</v>
      </c>
      <c r="F41">
        <v>113</v>
      </c>
      <c r="G41" t="s">
        <v>215</v>
      </c>
      <c r="H41" t="s">
        <v>210</v>
      </c>
    </row>
    <row r="42" spans="1:8" ht="15" customHeight="1" x14ac:dyDescent="0.3">
      <c r="A42">
        <v>61</v>
      </c>
      <c r="B42" t="s">
        <v>171</v>
      </c>
      <c r="C42" t="s">
        <v>38</v>
      </c>
      <c r="D42">
        <v>2</v>
      </c>
      <c r="E42">
        <v>326</v>
      </c>
      <c r="F42">
        <v>163</v>
      </c>
      <c r="G42" t="s">
        <v>204</v>
      </c>
      <c r="H42" t="s">
        <v>205</v>
      </c>
    </row>
    <row r="43" spans="1:8" ht="15" customHeight="1" x14ac:dyDescent="0.3">
      <c r="A43">
        <v>6</v>
      </c>
      <c r="B43" t="s">
        <v>188</v>
      </c>
      <c r="C43" t="s">
        <v>40</v>
      </c>
      <c r="D43">
        <v>2</v>
      </c>
      <c r="E43">
        <v>317</v>
      </c>
      <c r="F43">
        <v>158.5</v>
      </c>
      <c r="G43" t="s">
        <v>216</v>
      </c>
      <c r="H43" t="s">
        <v>212</v>
      </c>
    </row>
    <row r="44" spans="1:8" ht="15" customHeight="1" x14ac:dyDescent="0.3">
      <c r="A44">
        <v>74</v>
      </c>
      <c r="B44" t="s">
        <v>162</v>
      </c>
      <c r="C44" t="s">
        <v>38</v>
      </c>
      <c r="D44">
        <v>3</v>
      </c>
      <c r="E44">
        <v>317</v>
      </c>
      <c r="F44">
        <v>105.666666666667</v>
      </c>
      <c r="G44" t="s">
        <v>214</v>
      </c>
      <c r="H44" t="s">
        <v>212</v>
      </c>
    </row>
    <row r="45" spans="1:8" ht="15" customHeight="1" x14ac:dyDescent="0.3">
      <c r="A45">
        <v>71</v>
      </c>
      <c r="B45" t="s">
        <v>156</v>
      </c>
      <c r="C45" t="s">
        <v>38</v>
      </c>
      <c r="D45">
        <v>5</v>
      </c>
      <c r="E45">
        <v>310</v>
      </c>
      <c r="F45">
        <v>62</v>
      </c>
      <c r="G45" t="s">
        <v>208</v>
      </c>
      <c r="H45" t="s">
        <v>203</v>
      </c>
    </row>
    <row r="46" spans="1:8" ht="15" customHeight="1" x14ac:dyDescent="0.3">
      <c r="A46">
        <v>46</v>
      </c>
      <c r="B46" t="s">
        <v>183</v>
      </c>
      <c r="C46" t="s">
        <v>43</v>
      </c>
      <c r="D46">
        <v>4</v>
      </c>
      <c r="E46">
        <v>299</v>
      </c>
      <c r="F46">
        <v>74.75</v>
      </c>
      <c r="G46" t="s">
        <v>214</v>
      </c>
      <c r="H46" t="s">
        <v>209</v>
      </c>
    </row>
    <row r="47" spans="1:8" ht="15" customHeight="1" x14ac:dyDescent="0.3">
      <c r="A47">
        <v>22</v>
      </c>
      <c r="B47" t="s">
        <v>190</v>
      </c>
      <c r="C47" t="s">
        <v>40</v>
      </c>
      <c r="D47">
        <v>5</v>
      </c>
      <c r="E47">
        <v>287</v>
      </c>
      <c r="F47">
        <v>57.4</v>
      </c>
      <c r="G47" t="s">
        <v>208</v>
      </c>
      <c r="H47" t="s">
        <v>207</v>
      </c>
    </row>
    <row r="48" spans="1:8" ht="15" customHeight="1" x14ac:dyDescent="0.3">
      <c r="A48">
        <v>14</v>
      </c>
      <c r="B48" t="s">
        <v>180</v>
      </c>
      <c r="C48" t="s">
        <v>40</v>
      </c>
      <c r="D48">
        <v>3</v>
      </c>
      <c r="E48">
        <v>271</v>
      </c>
      <c r="F48">
        <v>90.3333333333333</v>
      </c>
      <c r="G48" t="s">
        <v>206</v>
      </c>
      <c r="H48" t="s">
        <v>212</v>
      </c>
    </row>
    <row r="49" spans="1:8" ht="15" customHeight="1" x14ac:dyDescent="0.3">
      <c r="A49">
        <v>45</v>
      </c>
      <c r="B49" t="s">
        <v>161</v>
      </c>
      <c r="C49" t="s">
        <v>43</v>
      </c>
      <c r="D49">
        <v>7</v>
      </c>
      <c r="E49">
        <v>230</v>
      </c>
      <c r="F49">
        <v>32.857142857142897</v>
      </c>
      <c r="G49" t="s">
        <v>214</v>
      </c>
      <c r="H49" t="s">
        <v>209</v>
      </c>
    </row>
    <row r="50" spans="1:8" ht="15" customHeight="1" x14ac:dyDescent="0.3">
      <c r="A50">
        <v>39</v>
      </c>
      <c r="B50" t="s">
        <v>152</v>
      </c>
      <c r="C50" t="s">
        <v>43</v>
      </c>
      <c r="D50">
        <v>1</v>
      </c>
      <c r="E50">
        <v>200</v>
      </c>
      <c r="F50">
        <v>200</v>
      </c>
      <c r="G50" t="s">
        <v>208</v>
      </c>
      <c r="H50" t="s">
        <v>212</v>
      </c>
    </row>
    <row r="51" spans="1:8" ht="15" customHeight="1" x14ac:dyDescent="0.3">
      <c r="A51">
        <v>53</v>
      </c>
      <c r="B51" t="s">
        <v>196</v>
      </c>
      <c r="C51" t="s">
        <v>38</v>
      </c>
      <c r="D51">
        <v>2</v>
      </c>
      <c r="E51">
        <v>199</v>
      </c>
      <c r="F51">
        <v>99.5</v>
      </c>
      <c r="G51" t="s">
        <v>204</v>
      </c>
      <c r="H51" t="s">
        <v>210</v>
      </c>
    </row>
    <row r="52" spans="1:8" ht="15" customHeight="1" x14ac:dyDescent="0.3">
      <c r="A52">
        <v>56</v>
      </c>
      <c r="B52" t="s">
        <v>184</v>
      </c>
      <c r="C52" t="s">
        <v>38</v>
      </c>
      <c r="D52">
        <v>3</v>
      </c>
      <c r="E52">
        <v>196</v>
      </c>
      <c r="F52">
        <v>65.3333333333333</v>
      </c>
      <c r="G52" t="s">
        <v>208</v>
      </c>
      <c r="H52" t="s">
        <v>210</v>
      </c>
    </row>
    <row r="53" spans="1:8" ht="15" customHeight="1" x14ac:dyDescent="0.3">
      <c r="A53">
        <v>27</v>
      </c>
      <c r="B53" t="s">
        <v>159</v>
      </c>
      <c r="C53" t="s">
        <v>40</v>
      </c>
      <c r="D53">
        <v>6</v>
      </c>
      <c r="E53">
        <v>191</v>
      </c>
      <c r="F53">
        <v>31.8333333333333</v>
      </c>
      <c r="G53" t="s">
        <v>204</v>
      </c>
      <c r="H53" t="s">
        <v>212</v>
      </c>
    </row>
    <row r="54" spans="1:8" ht="15" customHeight="1" x14ac:dyDescent="0.3">
      <c r="A54">
        <v>19</v>
      </c>
      <c r="B54" t="s">
        <v>153</v>
      </c>
      <c r="C54" t="s">
        <v>40</v>
      </c>
      <c r="D54">
        <v>3</v>
      </c>
      <c r="E54">
        <v>185</v>
      </c>
      <c r="F54">
        <v>61.6666666666667</v>
      </c>
      <c r="G54" t="s">
        <v>216</v>
      </c>
      <c r="H54" t="s">
        <v>203</v>
      </c>
    </row>
    <row r="55" spans="1:8" ht="15" customHeight="1" x14ac:dyDescent="0.3">
      <c r="A55">
        <v>48</v>
      </c>
      <c r="B55" t="s">
        <v>187</v>
      </c>
      <c r="C55" t="s">
        <v>43</v>
      </c>
      <c r="D55">
        <v>6</v>
      </c>
      <c r="E55">
        <v>179</v>
      </c>
      <c r="F55">
        <v>29.8333333333333</v>
      </c>
      <c r="G55" t="s">
        <v>208</v>
      </c>
      <c r="H55" t="s">
        <v>213</v>
      </c>
    </row>
    <row r="56" spans="1:8" ht="15" customHeight="1" x14ac:dyDescent="0.3">
      <c r="A56">
        <v>65</v>
      </c>
      <c r="B56" t="s">
        <v>172</v>
      </c>
      <c r="C56" t="s">
        <v>38</v>
      </c>
      <c r="D56">
        <v>2</v>
      </c>
      <c r="E56">
        <v>173</v>
      </c>
      <c r="F56">
        <v>86.5</v>
      </c>
      <c r="G56" t="s">
        <v>206</v>
      </c>
      <c r="H56" t="s">
        <v>212</v>
      </c>
    </row>
    <row r="57" spans="1:8" ht="15" customHeight="1" x14ac:dyDescent="0.3">
      <c r="A57">
        <v>35</v>
      </c>
      <c r="B57" t="s">
        <v>151</v>
      </c>
      <c r="C57" t="s">
        <v>43</v>
      </c>
      <c r="D57">
        <v>4</v>
      </c>
      <c r="E57">
        <v>136</v>
      </c>
      <c r="F57">
        <v>34</v>
      </c>
      <c r="G57" t="s">
        <v>206</v>
      </c>
      <c r="H57" t="s">
        <v>209</v>
      </c>
    </row>
    <row r="58" spans="1:8" ht="15" customHeight="1" x14ac:dyDescent="0.3">
      <c r="A58">
        <v>8</v>
      </c>
      <c r="B58" t="s">
        <v>148</v>
      </c>
      <c r="C58" t="s">
        <v>40</v>
      </c>
      <c r="D58">
        <v>1</v>
      </c>
      <c r="E58">
        <v>120</v>
      </c>
      <c r="F58">
        <v>120</v>
      </c>
      <c r="G58" t="s">
        <v>216</v>
      </c>
      <c r="H58" t="s">
        <v>209</v>
      </c>
    </row>
    <row r="59" spans="1:8" ht="15" customHeight="1" x14ac:dyDescent="0.3">
      <c r="A59">
        <v>9</v>
      </c>
      <c r="B59" t="s">
        <v>182</v>
      </c>
      <c r="C59" t="s">
        <v>40</v>
      </c>
      <c r="D59">
        <v>3</v>
      </c>
      <c r="E59">
        <v>114</v>
      </c>
      <c r="F59">
        <v>38</v>
      </c>
      <c r="G59" t="s">
        <v>211</v>
      </c>
      <c r="H59" t="s">
        <v>205</v>
      </c>
    </row>
    <row r="60" spans="1:8" ht="15" customHeight="1" x14ac:dyDescent="0.3">
      <c r="A60">
        <v>73</v>
      </c>
      <c r="B60" t="s">
        <v>147</v>
      </c>
      <c r="C60" t="s">
        <v>38</v>
      </c>
      <c r="D60">
        <v>1</v>
      </c>
      <c r="E60">
        <v>111</v>
      </c>
      <c r="F60">
        <v>111</v>
      </c>
      <c r="G60" t="s">
        <v>215</v>
      </c>
      <c r="H60" t="s">
        <v>212</v>
      </c>
    </row>
    <row r="61" spans="1:8" ht="15" customHeight="1" x14ac:dyDescent="0.3">
      <c r="A61">
        <v>59</v>
      </c>
      <c r="B61" t="s">
        <v>194</v>
      </c>
      <c r="C61" t="s">
        <v>38</v>
      </c>
      <c r="D61">
        <v>3</v>
      </c>
      <c r="E61">
        <v>111</v>
      </c>
      <c r="F61">
        <v>37</v>
      </c>
      <c r="G61" t="s">
        <v>215</v>
      </c>
      <c r="H61" t="s">
        <v>203</v>
      </c>
    </row>
    <row r="62" spans="1:8" ht="15" customHeight="1" x14ac:dyDescent="0.3">
      <c r="A62">
        <v>10</v>
      </c>
      <c r="B62" t="s">
        <v>163</v>
      </c>
      <c r="C62" t="s">
        <v>40</v>
      </c>
      <c r="D62">
        <v>2</v>
      </c>
      <c r="E62">
        <v>98</v>
      </c>
      <c r="F62">
        <v>49</v>
      </c>
      <c r="G62" t="s">
        <v>211</v>
      </c>
      <c r="H62" t="s">
        <v>203</v>
      </c>
    </row>
    <row r="63" spans="1:8" ht="15" customHeight="1" x14ac:dyDescent="0.3">
      <c r="A63">
        <v>24</v>
      </c>
      <c r="B63" t="s">
        <v>155</v>
      </c>
      <c r="C63" t="s">
        <v>40</v>
      </c>
      <c r="D63">
        <v>3</v>
      </c>
      <c r="E63">
        <v>94</v>
      </c>
      <c r="F63">
        <v>31.3333333333333</v>
      </c>
      <c r="G63" t="s">
        <v>206</v>
      </c>
      <c r="H63" t="s">
        <v>212</v>
      </c>
    </row>
    <row r="64" spans="1:8" ht="15" customHeight="1" x14ac:dyDescent="0.3">
      <c r="A64">
        <v>75</v>
      </c>
      <c r="B64" t="s">
        <v>154</v>
      </c>
      <c r="C64" t="s">
        <v>38</v>
      </c>
      <c r="D64">
        <v>3</v>
      </c>
      <c r="E64">
        <v>85</v>
      </c>
      <c r="F64">
        <v>28.3333333333333</v>
      </c>
      <c r="G64" t="s">
        <v>202</v>
      </c>
      <c r="H64" t="s">
        <v>209</v>
      </c>
    </row>
    <row r="65" spans="1:8" ht="15" customHeight="1" x14ac:dyDescent="0.3">
      <c r="A65">
        <v>34</v>
      </c>
      <c r="B65" t="s">
        <v>168</v>
      </c>
      <c r="C65" t="s">
        <v>43</v>
      </c>
      <c r="D65">
        <v>2</v>
      </c>
      <c r="E65">
        <v>82</v>
      </c>
      <c r="F65">
        <v>41</v>
      </c>
      <c r="G65" t="s">
        <v>211</v>
      </c>
      <c r="H65" t="s">
        <v>210</v>
      </c>
    </row>
    <row r="66" spans="1:8" ht="15" customHeight="1" x14ac:dyDescent="0.3">
      <c r="A66">
        <v>1</v>
      </c>
      <c r="B66" t="s">
        <v>178</v>
      </c>
      <c r="C66" t="s">
        <v>40</v>
      </c>
      <c r="D66">
        <v>2</v>
      </c>
      <c r="E66">
        <v>82</v>
      </c>
      <c r="F66">
        <v>41</v>
      </c>
      <c r="G66" t="s">
        <v>202</v>
      </c>
      <c r="H66" t="s">
        <v>212</v>
      </c>
    </row>
    <row r="67" spans="1:8" ht="15" customHeight="1" x14ac:dyDescent="0.3">
      <c r="A67">
        <v>25</v>
      </c>
      <c r="B67" t="s">
        <v>143</v>
      </c>
      <c r="C67" t="s">
        <v>40</v>
      </c>
      <c r="D67">
        <v>1</v>
      </c>
      <c r="E67">
        <v>76</v>
      </c>
      <c r="F67">
        <v>76</v>
      </c>
      <c r="G67" t="s">
        <v>214</v>
      </c>
      <c r="H67" t="s">
        <v>212</v>
      </c>
    </row>
    <row r="68" spans="1:8" ht="15" customHeight="1" x14ac:dyDescent="0.3">
      <c r="A68">
        <v>26</v>
      </c>
      <c r="B68" t="s">
        <v>186</v>
      </c>
      <c r="C68" t="s">
        <v>40</v>
      </c>
      <c r="D68">
        <v>2</v>
      </c>
      <c r="E68">
        <v>72</v>
      </c>
      <c r="F68">
        <v>36</v>
      </c>
      <c r="G68" t="s">
        <v>202</v>
      </c>
      <c r="H68" t="s">
        <v>217</v>
      </c>
    </row>
    <row r="69" spans="1:8" ht="15" customHeight="1" x14ac:dyDescent="0.3">
      <c r="A69">
        <v>47</v>
      </c>
      <c r="B69" t="s">
        <v>169</v>
      </c>
      <c r="C69" t="s">
        <v>43</v>
      </c>
      <c r="D69">
        <v>2</v>
      </c>
      <c r="E69">
        <v>67</v>
      </c>
      <c r="F69">
        <v>33.5</v>
      </c>
      <c r="G69" t="s">
        <v>204</v>
      </c>
      <c r="H69" t="s">
        <v>210</v>
      </c>
    </row>
    <row r="70" spans="1:8" ht="15" customHeight="1" x14ac:dyDescent="0.3">
      <c r="A70">
        <v>28</v>
      </c>
      <c r="B70" t="s">
        <v>195</v>
      </c>
      <c r="C70" t="s">
        <v>40</v>
      </c>
      <c r="D70">
        <v>3</v>
      </c>
      <c r="E70">
        <v>66</v>
      </c>
      <c r="F70">
        <v>22</v>
      </c>
      <c r="G70" t="s">
        <v>202</v>
      </c>
      <c r="H70" t="s">
        <v>209</v>
      </c>
    </row>
    <row r="71" spans="1:8" ht="15" customHeight="1" x14ac:dyDescent="0.3">
      <c r="A71">
        <v>5</v>
      </c>
      <c r="B71" t="s">
        <v>192</v>
      </c>
      <c r="C71" t="s">
        <v>40</v>
      </c>
      <c r="D71">
        <v>3</v>
      </c>
      <c r="E71">
        <v>65</v>
      </c>
      <c r="F71">
        <v>21.6666666666667</v>
      </c>
      <c r="G71" t="s">
        <v>208</v>
      </c>
      <c r="H71" t="s">
        <v>210</v>
      </c>
    </row>
    <row r="72" spans="1:8" ht="15" customHeight="1" x14ac:dyDescent="0.3">
      <c r="A72">
        <v>54</v>
      </c>
      <c r="B72" t="s">
        <v>179</v>
      </c>
      <c r="C72" t="s">
        <v>38</v>
      </c>
      <c r="D72">
        <v>2</v>
      </c>
      <c r="E72">
        <v>60</v>
      </c>
      <c r="F72">
        <v>30</v>
      </c>
      <c r="G72" t="s">
        <v>206</v>
      </c>
      <c r="H72" t="s">
        <v>205</v>
      </c>
    </row>
    <row r="73" spans="1:8" ht="15" customHeight="1" x14ac:dyDescent="0.3">
      <c r="A73">
        <v>60</v>
      </c>
      <c r="B73" t="s">
        <v>177</v>
      </c>
      <c r="C73" t="s">
        <v>38</v>
      </c>
      <c r="D73">
        <v>3</v>
      </c>
      <c r="E73">
        <v>55</v>
      </c>
      <c r="F73">
        <v>18.3333333333333</v>
      </c>
      <c r="G73" t="s">
        <v>211</v>
      </c>
      <c r="H73" t="s">
        <v>209</v>
      </c>
    </row>
    <row r="74" spans="1:8" ht="15" customHeight="1" x14ac:dyDescent="0.3">
      <c r="A74">
        <v>4</v>
      </c>
      <c r="B74" t="s">
        <v>157</v>
      </c>
      <c r="C74" t="s">
        <v>40</v>
      </c>
      <c r="D74">
        <v>2</v>
      </c>
      <c r="E74">
        <v>48</v>
      </c>
      <c r="F74">
        <v>24</v>
      </c>
      <c r="G74" t="s">
        <v>215</v>
      </c>
      <c r="H74" t="s">
        <v>209</v>
      </c>
    </row>
    <row r="75" spans="1:8" ht="15" customHeight="1" x14ac:dyDescent="0.3">
      <c r="A75">
        <v>31</v>
      </c>
      <c r="B75" t="s">
        <v>175</v>
      </c>
      <c r="C75" t="s">
        <v>40</v>
      </c>
      <c r="D75">
        <v>1</v>
      </c>
      <c r="E75">
        <v>48</v>
      </c>
      <c r="F75">
        <v>48</v>
      </c>
      <c r="G75" t="s">
        <v>202</v>
      </c>
      <c r="H75" t="s">
        <v>203</v>
      </c>
    </row>
    <row r="76" spans="1:8" ht="15" customHeight="1" x14ac:dyDescent="0.3">
      <c r="A76">
        <v>57</v>
      </c>
      <c r="B76" t="s">
        <v>193</v>
      </c>
      <c r="C76" t="s">
        <v>38</v>
      </c>
      <c r="D76">
        <v>1</v>
      </c>
      <c r="E76">
        <v>47</v>
      </c>
      <c r="F76">
        <v>47</v>
      </c>
      <c r="G76" t="s">
        <v>208</v>
      </c>
      <c r="H76" t="s">
        <v>205</v>
      </c>
    </row>
    <row r="77" spans="1:8" ht="15" customHeight="1" x14ac:dyDescent="0.3">
      <c r="A77">
        <v>52</v>
      </c>
      <c r="B77" t="s">
        <v>145</v>
      </c>
      <c r="C77" t="s">
        <v>38</v>
      </c>
      <c r="D77">
        <v>2</v>
      </c>
      <c r="E77">
        <v>32</v>
      </c>
      <c r="F77">
        <v>16</v>
      </c>
      <c r="G77" t="s">
        <v>216</v>
      </c>
      <c r="H77" t="s">
        <v>213</v>
      </c>
    </row>
    <row r="78" spans="1:8" ht="15" customHeight="1" x14ac:dyDescent="0.3">
      <c r="A78">
        <v>12</v>
      </c>
      <c r="B78" t="s">
        <v>185</v>
      </c>
      <c r="C78" t="s">
        <v>40</v>
      </c>
      <c r="D78">
        <v>2</v>
      </c>
      <c r="E78">
        <v>28</v>
      </c>
      <c r="F78">
        <v>14</v>
      </c>
      <c r="G78" t="s">
        <v>216</v>
      </c>
      <c r="H78" t="s">
        <v>217</v>
      </c>
    </row>
    <row r="79" spans="1:8" ht="15" customHeight="1" x14ac:dyDescent="0.3">
      <c r="A79">
        <v>51</v>
      </c>
      <c r="B79" t="s">
        <v>174</v>
      </c>
      <c r="C79" t="s">
        <v>38</v>
      </c>
      <c r="D79">
        <v>1</v>
      </c>
      <c r="E79">
        <v>28</v>
      </c>
      <c r="F79">
        <v>28</v>
      </c>
      <c r="G79" t="s">
        <v>215</v>
      </c>
      <c r="H79" t="s">
        <v>207</v>
      </c>
    </row>
    <row r="80" spans="1:8" ht="15" customHeight="1" x14ac:dyDescent="0.3">
      <c r="A80">
        <v>30</v>
      </c>
      <c r="B80" t="s">
        <v>181</v>
      </c>
      <c r="C80" t="s">
        <v>40</v>
      </c>
      <c r="D80">
        <v>1</v>
      </c>
      <c r="E80">
        <v>12</v>
      </c>
      <c r="F80">
        <v>12</v>
      </c>
      <c r="G80" t="s">
        <v>202</v>
      </c>
      <c r="H80" t="s">
        <v>217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1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9" customWidth="1"/>
    <col min="2" max="2" width="24" customWidth="1"/>
    <col min="3" max="3" width="13" customWidth="1"/>
    <col min="4" max="4" width="18" customWidth="1"/>
    <col min="5" max="5" width="19" customWidth="1"/>
    <col min="6" max="7" width="13" customWidth="1"/>
    <col min="8" max="9" width="18" customWidth="1"/>
  </cols>
  <sheetData>
    <row r="1" spans="1:9" ht="15" customHeight="1" x14ac:dyDescent="0.3">
      <c r="A1" s="8" t="s">
        <v>218</v>
      </c>
      <c r="B1" s="8" t="s">
        <v>219</v>
      </c>
      <c r="C1" s="8" t="s">
        <v>110</v>
      </c>
      <c r="D1" s="8" t="s">
        <v>111</v>
      </c>
      <c r="E1" s="8" t="s">
        <v>112</v>
      </c>
      <c r="F1" s="8" t="s">
        <v>220</v>
      </c>
      <c r="G1" s="8" t="s">
        <v>221</v>
      </c>
      <c r="H1" s="8" t="s">
        <v>222</v>
      </c>
      <c r="I1" s="8" t="s">
        <v>223</v>
      </c>
    </row>
    <row r="2" spans="1:9" ht="15" customHeight="1" x14ac:dyDescent="0.3">
      <c r="A2">
        <v>77</v>
      </c>
      <c r="B2">
        <v>2</v>
      </c>
      <c r="C2">
        <v>385</v>
      </c>
      <c r="D2">
        <v>9369</v>
      </c>
      <c r="E2">
        <v>125174</v>
      </c>
      <c r="F2" t="s">
        <v>81</v>
      </c>
      <c r="G2" t="s">
        <v>82</v>
      </c>
      <c r="H2" t="s">
        <v>165</v>
      </c>
      <c r="I2" t="s">
        <v>40</v>
      </c>
    </row>
    <row r="3" spans="1:9" ht="15" customHeight="1" x14ac:dyDescent="0.3">
      <c r="A3">
        <v>72</v>
      </c>
      <c r="B3">
        <v>47</v>
      </c>
      <c r="C3">
        <v>381</v>
      </c>
      <c r="D3">
        <v>10174</v>
      </c>
      <c r="E3">
        <v>132450</v>
      </c>
      <c r="F3" t="s">
        <v>54</v>
      </c>
      <c r="G3" t="s">
        <v>38</v>
      </c>
      <c r="H3" t="s">
        <v>169</v>
      </c>
      <c r="I3" t="s">
        <v>43</v>
      </c>
    </row>
    <row r="4" spans="1:9" ht="15" customHeight="1" x14ac:dyDescent="0.3">
      <c r="A4">
        <v>41</v>
      </c>
      <c r="B4">
        <v>62</v>
      </c>
      <c r="C4">
        <v>380</v>
      </c>
      <c r="D4">
        <v>10089</v>
      </c>
      <c r="E4">
        <v>132198</v>
      </c>
      <c r="F4" t="s">
        <v>130</v>
      </c>
      <c r="G4" t="s">
        <v>43</v>
      </c>
      <c r="H4" t="s">
        <v>135</v>
      </c>
      <c r="I4" t="s">
        <v>38</v>
      </c>
    </row>
    <row r="5" spans="1:9" ht="15" customHeight="1" x14ac:dyDescent="0.3">
      <c r="A5">
        <v>70</v>
      </c>
      <c r="B5">
        <v>34</v>
      </c>
      <c r="C5">
        <v>379</v>
      </c>
      <c r="D5">
        <v>9967</v>
      </c>
      <c r="E5">
        <v>134248</v>
      </c>
      <c r="F5" t="s">
        <v>49</v>
      </c>
      <c r="G5" t="s">
        <v>38</v>
      </c>
      <c r="H5" t="s">
        <v>168</v>
      </c>
      <c r="I5" t="s">
        <v>43</v>
      </c>
    </row>
    <row r="6" spans="1:9" ht="15" customHeight="1" x14ac:dyDescent="0.3">
      <c r="A6">
        <v>3</v>
      </c>
      <c r="B6">
        <v>36</v>
      </c>
      <c r="C6">
        <v>377</v>
      </c>
      <c r="D6">
        <v>9723</v>
      </c>
      <c r="E6">
        <v>125129</v>
      </c>
      <c r="F6" t="s">
        <v>56</v>
      </c>
      <c r="G6" t="s">
        <v>40</v>
      </c>
      <c r="H6" t="s">
        <v>134</v>
      </c>
      <c r="I6" t="s">
        <v>43</v>
      </c>
    </row>
    <row r="7" spans="1:9" ht="15" customHeight="1" x14ac:dyDescent="0.3">
      <c r="A7">
        <v>50</v>
      </c>
      <c r="B7">
        <v>48</v>
      </c>
      <c r="C7">
        <v>377</v>
      </c>
      <c r="D7">
        <v>9723</v>
      </c>
      <c r="E7">
        <v>126999</v>
      </c>
      <c r="F7" t="s">
        <v>84</v>
      </c>
      <c r="G7" t="s">
        <v>38</v>
      </c>
      <c r="H7" t="s">
        <v>187</v>
      </c>
      <c r="I7" t="s">
        <v>43</v>
      </c>
    </row>
    <row r="8" spans="1:9" ht="15" customHeight="1" x14ac:dyDescent="0.3">
      <c r="A8">
        <v>77</v>
      </c>
      <c r="B8">
        <v>52</v>
      </c>
      <c r="C8">
        <v>377</v>
      </c>
      <c r="D8">
        <v>10435</v>
      </c>
      <c r="E8">
        <v>139332</v>
      </c>
      <c r="F8" t="s">
        <v>81</v>
      </c>
      <c r="G8" t="s">
        <v>82</v>
      </c>
      <c r="H8" t="s">
        <v>145</v>
      </c>
      <c r="I8" t="s">
        <v>38</v>
      </c>
    </row>
    <row r="9" spans="1:9" ht="15" customHeight="1" x14ac:dyDescent="0.3">
      <c r="A9">
        <v>80</v>
      </c>
      <c r="B9">
        <v>13</v>
      </c>
      <c r="C9">
        <v>375</v>
      </c>
      <c r="D9">
        <v>10124</v>
      </c>
      <c r="E9">
        <v>133449</v>
      </c>
      <c r="F9" t="s">
        <v>131</v>
      </c>
      <c r="G9" t="s">
        <v>132</v>
      </c>
      <c r="H9" t="s">
        <v>160</v>
      </c>
      <c r="I9" t="s">
        <v>40</v>
      </c>
    </row>
    <row r="10" spans="1:9" ht="15" customHeight="1" x14ac:dyDescent="0.3">
      <c r="A10">
        <v>58</v>
      </c>
      <c r="B10">
        <v>21</v>
      </c>
      <c r="C10">
        <v>375</v>
      </c>
      <c r="D10">
        <v>8465</v>
      </c>
      <c r="E10">
        <v>110743</v>
      </c>
      <c r="F10" t="s">
        <v>53</v>
      </c>
      <c r="G10" t="s">
        <v>38</v>
      </c>
      <c r="H10" t="s">
        <v>140</v>
      </c>
      <c r="I10" t="s">
        <v>40</v>
      </c>
    </row>
    <row r="11" spans="1:9" ht="15" customHeight="1" x14ac:dyDescent="0.3">
      <c r="A11">
        <v>18</v>
      </c>
      <c r="B11">
        <v>35</v>
      </c>
      <c r="C11">
        <v>374</v>
      </c>
      <c r="D11">
        <v>9806</v>
      </c>
      <c r="E11">
        <v>128875</v>
      </c>
      <c r="F11" t="s">
        <v>39</v>
      </c>
      <c r="G11" t="s">
        <v>40</v>
      </c>
      <c r="H11" t="s">
        <v>151</v>
      </c>
      <c r="I11" t="s">
        <v>43</v>
      </c>
    </row>
    <row r="12" spans="1:9" ht="15" customHeight="1" x14ac:dyDescent="0.3">
      <c r="A12">
        <v>40</v>
      </c>
      <c r="B12">
        <v>1</v>
      </c>
      <c r="C12">
        <v>373</v>
      </c>
      <c r="D12">
        <v>9067</v>
      </c>
      <c r="E12">
        <v>118539</v>
      </c>
      <c r="F12" t="s">
        <v>42</v>
      </c>
      <c r="G12" t="s">
        <v>43</v>
      </c>
      <c r="H12" t="s">
        <v>178</v>
      </c>
      <c r="I12" t="s">
        <v>40</v>
      </c>
    </row>
    <row r="13" spans="1:9" ht="15" customHeight="1" x14ac:dyDescent="0.3">
      <c r="A13">
        <v>80</v>
      </c>
      <c r="B13">
        <v>21</v>
      </c>
      <c r="C13">
        <v>373</v>
      </c>
      <c r="D13">
        <v>10340</v>
      </c>
      <c r="E13">
        <v>137854</v>
      </c>
      <c r="F13" t="s">
        <v>131</v>
      </c>
      <c r="G13" t="s">
        <v>132</v>
      </c>
      <c r="H13" t="s">
        <v>140</v>
      </c>
      <c r="I13" t="s">
        <v>40</v>
      </c>
    </row>
    <row r="14" spans="1:9" ht="15" customHeight="1" x14ac:dyDescent="0.3">
      <c r="A14">
        <v>64</v>
      </c>
      <c r="B14">
        <v>58</v>
      </c>
      <c r="C14">
        <v>373</v>
      </c>
      <c r="D14">
        <v>9317</v>
      </c>
      <c r="E14">
        <v>74536</v>
      </c>
      <c r="F14" t="s">
        <v>37</v>
      </c>
      <c r="G14" t="s">
        <v>38</v>
      </c>
      <c r="H14" t="s">
        <v>53</v>
      </c>
      <c r="I14" t="s">
        <v>38</v>
      </c>
    </row>
    <row r="15" spans="1:9" ht="15" customHeight="1" x14ac:dyDescent="0.3">
      <c r="A15">
        <v>40</v>
      </c>
      <c r="B15">
        <v>51</v>
      </c>
      <c r="C15">
        <v>373</v>
      </c>
      <c r="D15">
        <v>9673</v>
      </c>
      <c r="E15">
        <v>123336</v>
      </c>
      <c r="F15" t="s">
        <v>42</v>
      </c>
      <c r="G15" t="s">
        <v>43</v>
      </c>
      <c r="H15" t="s">
        <v>174</v>
      </c>
      <c r="I15" t="s">
        <v>38</v>
      </c>
    </row>
    <row r="16" spans="1:9" ht="15" customHeight="1" x14ac:dyDescent="0.3">
      <c r="A16">
        <v>40</v>
      </c>
      <c r="B16">
        <v>55</v>
      </c>
      <c r="C16">
        <v>372</v>
      </c>
      <c r="D16">
        <v>9642</v>
      </c>
      <c r="E16">
        <v>130766</v>
      </c>
      <c r="F16" t="s">
        <v>42</v>
      </c>
      <c r="G16" t="s">
        <v>43</v>
      </c>
      <c r="H16" t="s">
        <v>142</v>
      </c>
      <c r="I16" t="s">
        <v>38</v>
      </c>
    </row>
    <row r="17" spans="1:9" ht="15" customHeight="1" x14ac:dyDescent="0.3">
      <c r="A17">
        <v>3</v>
      </c>
      <c r="B17">
        <v>4</v>
      </c>
      <c r="C17">
        <v>372</v>
      </c>
      <c r="D17">
        <v>8857</v>
      </c>
      <c r="E17">
        <v>70856</v>
      </c>
      <c r="F17" t="s">
        <v>56</v>
      </c>
      <c r="G17" t="s">
        <v>40</v>
      </c>
      <c r="H17" t="s">
        <v>157</v>
      </c>
      <c r="I17" t="s">
        <v>40</v>
      </c>
    </row>
    <row r="18" spans="1:9" ht="15" customHeight="1" x14ac:dyDescent="0.3">
      <c r="A18">
        <v>49</v>
      </c>
      <c r="B18">
        <v>76</v>
      </c>
      <c r="C18">
        <v>371</v>
      </c>
      <c r="D18">
        <v>10586</v>
      </c>
      <c r="E18">
        <v>138903</v>
      </c>
      <c r="F18" t="s">
        <v>133</v>
      </c>
      <c r="G18" t="s">
        <v>43</v>
      </c>
      <c r="H18" t="s">
        <v>176</v>
      </c>
      <c r="I18" t="s">
        <v>38</v>
      </c>
    </row>
    <row r="19" spans="1:9" ht="15" customHeight="1" x14ac:dyDescent="0.3">
      <c r="A19">
        <v>50</v>
      </c>
      <c r="B19">
        <v>23</v>
      </c>
      <c r="C19">
        <v>371</v>
      </c>
      <c r="D19">
        <v>10369</v>
      </c>
      <c r="E19">
        <v>140060</v>
      </c>
      <c r="F19" t="s">
        <v>84</v>
      </c>
      <c r="G19" t="s">
        <v>38</v>
      </c>
      <c r="H19" t="s">
        <v>164</v>
      </c>
      <c r="I19" t="s">
        <v>40</v>
      </c>
    </row>
    <row r="20" spans="1:9" ht="15" customHeight="1" x14ac:dyDescent="0.3">
      <c r="A20">
        <v>37</v>
      </c>
      <c r="B20">
        <v>18</v>
      </c>
      <c r="C20">
        <v>371</v>
      </c>
      <c r="D20">
        <v>9999</v>
      </c>
      <c r="E20">
        <v>128560</v>
      </c>
      <c r="F20" t="s">
        <v>136</v>
      </c>
      <c r="G20" t="s">
        <v>43</v>
      </c>
      <c r="H20" t="s">
        <v>39</v>
      </c>
      <c r="I20" t="s">
        <v>40</v>
      </c>
    </row>
    <row r="21" spans="1:9" ht="15" customHeight="1" x14ac:dyDescent="0.3">
      <c r="A21">
        <v>64</v>
      </c>
      <c r="B21">
        <v>6</v>
      </c>
      <c r="C21">
        <v>371</v>
      </c>
      <c r="D21">
        <v>9724</v>
      </c>
      <c r="E21">
        <v>127409</v>
      </c>
      <c r="F21" t="s">
        <v>37</v>
      </c>
      <c r="G21" t="s">
        <v>38</v>
      </c>
      <c r="H21" t="s">
        <v>188</v>
      </c>
      <c r="I21" t="s">
        <v>40</v>
      </c>
    </row>
    <row r="22" spans="1:9" ht="15" customHeight="1" x14ac:dyDescent="0.3">
      <c r="A22">
        <v>79</v>
      </c>
      <c r="B22">
        <v>65</v>
      </c>
      <c r="C22">
        <v>370</v>
      </c>
      <c r="D22">
        <v>9424</v>
      </c>
      <c r="E22">
        <v>124323</v>
      </c>
      <c r="F22" t="s">
        <v>137</v>
      </c>
      <c r="G22" t="s">
        <v>138</v>
      </c>
      <c r="H22" t="s">
        <v>172</v>
      </c>
      <c r="I22" t="s">
        <v>38</v>
      </c>
    </row>
    <row r="23" spans="1:9" ht="15" customHeight="1" x14ac:dyDescent="0.3">
      <c r="A23">
        <v>67</v>
      </c>
      <c r="B23">
        <v>32</v>
      </c>
      <c r="C23">
        <v>369</v>
      </c>
      <c r="D23">
        <v>9509</v>
      </c>
      <c r="E23">
        <v>123787</v>
      </c>
      <c r="F23" t="s">
        <v>52</v>
      </c>
      <c r="G23" t="s">
        <v>38</v>
      </c>
      <c r="H23" t="s">
        <v>158</v>
      </c>
      <c r="I23" t="s">
        <v>40</v>
      </c>
    </row>
    <row r="24" spans="1:9" ht="15" customHeight="1" x14ac:dyDescent="0.3">
      <c r="A24">
        <v>78</v>
      </c>
      <c r="B24">
        <v>27</v>
      </c>
      <c r="C24">
        <v>369</v>
      </c>
      <c r="D24">
        <v>10328</v>
      </c>
      <c r="E24">
        <v>142034</v>
      </c>
      <c r="F24" t="s">
        <v>89</v>
      </c>
      <c r="G24" t="s">
        <v>82</v>
      </c>
      <c r="H24" t="s">
        <v>159</v>
      </c>
      <c r="I24" t="s">
        <v>40</v>
      </c>
    </row>
    <row r="25" spans="1:9" ht="15" customHeight="1" x14ac:dyDescent="0.3">
      <c r="A25">
        <v>55</v>
      </c>
      <c r="B25">
        <v>77</v>
      </c>
      <c r="C25">
        <v>369</v>
      </c>
      <c r="D25">
        <v>9502</v>
      </c>
      <c r="E25">
        <v>127906</v>
      </c>
      <c r="F25" t="s">
        <v>142</v>
      </c>
      <c r="G25" t="s">
        <v>38</v>
      </c>
      <c r="H25" t="s">
        <v>81</v>
      </c>
      <c r="I25" t="s">
        <v>82</v>
      </c>
    </row>
    <row r="26" spans="1:9" ht="15" customHeight="1" x14ac:dyDescent="0.3">
      <c r="A26">
        <v>11</v>
      </c>
      <c r="B26">
        <v>68</v>
      </c>
      <c r="C26">
        <v>369</v>
      </c>
      <c r="D26">
        <v>10046</v>
      </c>
      <c r="E26">
        <v>134590</v>
      </c>
      <c r="F26" t="s">
        <v>139</v>
      </c>
      <c r="G26" t="s">
        <v>40</v>
      </c>
      <c r="H26" t="s">
        <v>50</v>
      </c>
      <c r="I26" t="s">
        <v>38</v>
      </c>
    </row>
    <row r="27" spans="1:9" ht="15" customHeight="1" x14ac:dyDescent="0.3">
      <c r="A27">
        <v>40</v>
      </c>
      <c r="B27">
        <v>7</v>
      </c>
      <c r="C27">
        <v>369</v>
      </c>
      <c r="D27">
        <v>9307</v>
      </c>
      <c r="E27">
        <v>122377</v>
      </c>
      <c r="F27" t="s">
        <v>42</v>
      </c>
      <c r="G27" t="s">
        <v>43</v>
      </c>
      <c r="H27" t="s">
        <v>173</v>
      </c>
      <c r="I27" t="s">
        <v>40</v>
      </c>
    </row>
    <row r="28" spans="1:9" ht="15" customHeight="1" x14ac:dyDescent="0.3">
      <c r="A28">
        <v>37</v>
      </c>
      <c r="B28">
        <v>46</v>
      </c>
      <c r="C28">
        <v>369</v>
      </c>
      <c r="D28">
        <v>9076</v>
      </c>
      <c r="E28">
        <v>72608</v>
      </c>
      <c r="F28" t="s">
        <v>136</v>
      </c>
      <c r="G28" t="s">
        <v>43</v>
      </c>
      <c r="H28" t="s">
        <v>183</v>
      </c>
      <c r="I28" t="s">
        <v>43</v>
      </c>
    </row>
    <row r="29" spans="1:9" ht="15" customHeight="1" x14ac:dyDescent="0.3">
      <c r="A29">
        <v>21</v>
      </c>
      <c r="B29">
        <v>63</v>
      </c>
      <c r="C29">
        <v>368</v>
      </c>
      <c r="D29">
        <v>9959</v>
      </c>
      <c r="E29">
        <v>134891</v>
      </c>
      <c r="F29" t="s">
        <v>140</v>
      </c>
      <c r="G29" t="s">
        <v>40</v>
      </c>
      <c r="H29" t="s">
        <v>150</v>
      </c>
      <c r="I29" t="s">
        <v>38</v>
      </c>
    </row>
    <row r="30" spans="1:9" ht="15" customHeight="1" x14ac:dyDescent="0.3">
      <c r="A30">
        <v>72</v>
      </c>
      <c r="B30">
        <v>68</v>
      </c>
      <c r="C30">
        <v>368</v>
      </c>
      <c r="D30">
        <v>9492</v>
      </c>
      <c r="E30">
        <v>75936</v>
      </c>
      <c r="F30" t="s">
        <v>54</v>
      </c>
      <c r="G30" t="s">
        <v>38</v>
      </c>
      <c r="H30" t="s">
        <v>50</v>
      </c>
      <c r="I30" t="s">
        <v>38</v>
      </c>
    </row>
    <row r="31" spans="1:9" ht="15" customHeight="1" x14ac:dyDescent="0.3">
      <c r="A31">
        <v>38</v>
      </c>
      <c r="B31">
        <v>20</v>
      </c>
      <c r="C31">
        <v>368</v>
      </c>
      <c r="D31">
        <v>9478</v>
      </c>
      <c r="E31">
        <v>125697</v>
      </c>
      <c r="F31" t="s">
        <v>44</v>
      </c>
      <c r="G31" t="s">
        <v>43</v>
      </c>
      <c r="H31" t="s">
        <v>141</v>
      </c>
      <c r="I31" t="s">
        <v>40</v>
      </c>
    </row>
    <row r="32" spans="1:9" ht="15" customHeight="1" x14ac:dyDescent="0.3">
      <c r="A32">
        <v>70</v>
      </c>
      <c r="B32">
        <v>76</v>
      </c>
      <c r="C32">
        <v>368</v>
      </c>
      <c r="D32">
        <v>10197</v>
      </c>
      <c r="E32">
        <v>81576</v>
      </c>
      <c r="F32" t="s">
        <v>49</v>
      </c>
      <c r="G32" t="s">
        <v>38</v>
      </c>
      <c r="H32" t="s">
        <v>176</v>
      </c>
      <c r="I32" t="s">
        <v>38</v>
      </c>
    </row>
    <row r="33" spans="1:9" ht="15" customHeight="1" x14ac:dyDescent="0.3">
      <c r="A33">
        <v>64</v>
      </c>
      <c r="B33">
        <v>77</v>
      </c>
      <c r="C33">
        <v>368</v>
      </c>
      <c r="D33">
        <v>9789</v>
      </c>
      <c r="E33">
        <v>127926</v>
      </c>
      <c r="F33" t="s">
        <v>37</v>
      </c>
      <c r="G33" t="s">
        <v>38</v>
      </c>
      <c r="H33" t="s">
        <v>81</v>
      </c>
      <c r="I33" t="s">
        <v>82</v>
      </c>
    </row>
    <row r="34" spans="1:9" ht="15" customHeight="1" x14ac:dyDescent="0.3">
      <c r="A34">
        <v>33</v>
      </c>
      <c r="B34">
        <v>46</v>
      </c>
      <c r="C34">
        <v>368</v>
      </c>
      <c r="D34">
        <v>9546</v>
      </c>
      <c r="E34">
        <v>114552</v>
      </c>
      <c r="F34" t="s">
        <v>46</v>
      </c>
      <c r="G34" t="s">
        <v>43</v>
      </c>
      <c r="H34" t="s">
        <v>183</v>
      </c>
      <c r="I34" t="s">
        <v>43</v>
      </c>
    </row>
    <row r="35" spans="1:9" ht="15" customHeight="1" x14ac:dyDescent="0.3">
      <c r="A35">
        <v>33</v>
      </c>
      <c r="B35">
        <v>63</v>
      </c>
      <c r="C35">
        <v>368</v>
      </c>
      <c r="D35">
        <v>9967</v>
      </c>
      <c r="E35">
        <v>134639</v>
      </c>
      <c r="F35" t="s">
        <v>46</v>
      </c>
      <c r="G35" t="s">
        <v>43</v>
      </c>
      <c r="H35" t="s">
        <v>150</v>
      </c>
      <c r="I35" t="s">
        <v>38</v>
      </c>
    </row>
    <row r="36" spans="1:9" ht="15" customHeight="1" x14ac:dyDescent="0.3">
      <c r="A36">
        <v>70</v>
      </c>
      <c r="B36">
        <v>33</v>
      </c>
      <c r="C36">
        <v>368</v>
      </c>
      <c r="D36">
        <v>9907</v>
      </c>
      <c r="E36">
        <v>132699</v>
      </c>
      <c r="F36" t="s">
        <v>49</v>
      </c>
      <c r="G36" t="s">
        <v>38</v>
      </c>
      <c r="H36" t="s">
        <v>46</v>
      </c>
      <c r="I36" t="s">
        <v>43</v>
      </c>
    </row>
    <row r="37" spans="1:9" ht="15" customHeight="1" x14ac:dyDescent="0.3">
      <c r="A37">
        <v>62</v>
      </c>
      <c r="B37">
        <v>73</v>
      </c>
      <c r="C37">
        <v>367</v>
      </c>
      <c r="D37">
        <v>9469</v>
      </c>
      <c r="E37">
        <v>113628</v>
      </c>
      <c r="F37" t="s">
        <v>135</v>
      </c>
      <c r="G37" t="s">
        <v>38</v>
      </c>
      <c r="H37" t="s">
        <v>147</v>
      </c>
      <c r="I37" t="s">
        <v>38</v>
      </c>
    </row>
    <row r="38" spans="1:9" ht="15" customHeight="1" x14ac:dyDescent="0.3">
      <c r="A38">
        <v>40</v>
      </c>
      <c r="B38">
        <v>21</v>
      </c>
      <c r="C38">
        <v>367</v>
      </c>
      <c r="D38">
        <v>9538</v>
      </c>
      <c r="E38">
        <v>128912</v>
      </c>
      <c r="F38" t="s">
        <v>42</v>
      </c>
      <c r="G38" t="s">
        <v>43</v>
      </c>
      <c r="H38" t="s">
        <v>140</v>
      </c>
      <c r="I38" t="s">
        <v>40</v>
      </c>
    </row>
    <row r="39" spans="1:9" ht="15" customHeight="1" x14ac:dyDescent="0.3">
      <c r="A39">
        <v>33</v>
      </c>
      <c r="B39">
        <v>70</v>
      </c>
      <c r="C39">
        <v>367</v>
      </c>
      <c r="D39">
        <v>10286</v>
      </c>
      <c r="E39">
        <v>140608</v>
      </c>
      <c r="F39" t="s">
        <v>46</v>
      </c>
      <c r="G39" t="s">
        <v>43</v>
      </c>
      <c r="H39" t="s">
        <v>49</v>
      </c>
      <c r="I39" t="s">
        <v>38</v>
      </c>
    </row>
    <row r="40" spans="1:9" ht="15" customHeight="1" x14ac:dyDescent="0.3">
      <c r="A40">
        <v>77</v>
      </c>
      <c r="B40">
        <v>38</v>
      </c>
      <c r="C40">
        <v>366</v>
      </c>
      <c r="D40">
        <v>9918</v>
      </c>
      <c r="E40">
        <v>131149</v>
      </c>
      <c r="F40" t="s">
        <v>81</v>
      </c>
      <c r="G40" t="s">
        <v>82</v>
      </c>
      <c r="H40" t="s">
        <v>44</v>
      </c>
      <c r="I40" t="s">
        <v>43</v>
      </c>
    </row>
    <row r="41" spans="1:9" ht="15" customHeight="1" x14ac:dyDescent="0.3">
      <c r="A41">
        <v>40</v>
      </c>
      <c r="B41">
        <v>63</v>
      </c>
      <c r="C41">
        <v>366</v>
      </c>
      <c r="D41">
        <v>9444</v>
      </c>
      <c r="E41">
        <v>122010</v>
      </c>
      <c r="F41" t="s">
        <v>42</v>
      </c>
      <c r="G41" t="s">
        <v>43</v>
      </c>
      <c r="H41" t="s">
        <v>150</v>
      </c>
      <c r="I41" t="s">
        <v>38</v>
      </c>
    </row>
    <row r="42" spans="1:9" ht="15" customHeight="1" x14ac:dyDescent="0.3">
      <c r="A42">
        <v>3</v>
      </c>
      <c r="B42">
        <v>68</v>
      </c>
      <c r="C42">
        <v>366</v>
      </c>
      <c r="D42">
        <v>8813</v>
      </c>
      <c r="E42">
        <v>116027</v>
      </c>
      <c r="F42" t="s">
        <v>56</v>
      </c>
      <c r="G42" t="s">
        <v>40</v>
      </c>
      <c r="H42" t="s">
        <v>50</v>
      </c>
      <c r="I42" t="s">
        <v>38</v>
      </c>
    </row>
    <row r="43" spans="1:9" ht="15" customHeight="1" x14ac:dyDescent="0.3">
      <c r="A43">
        <v>20</v>
      </c>
      <c r="B43">
        <v>2</v>
      </c>
      <c r="C43">
        <v>366</v>
      </c>
      <c r="D43">
        <v>9493</v>
      </c>
      <c r="E43">
        <v>142395</v>
      </c>
      <c r="F43" t="s">
        <v>141</v>
      </c>
      <c r="G43" t="s">
        <v>40</v>
      </c>
      <c r="H43" t="s">
        <v>165</v>
      </c>
      <c r="I43" t="s">
        <v>40</v>
      </c>
    </row>
    <row r="44" spans="1:9" ht="15" customHeight="1" x14ac:dyDescent="0.3">
      <c r="A44">
        <v>80</v>
      </c>
      <c r="B44">
        <v>77</v>
      </c>
      <c r="C44">
        <v>365</v>
      </c>
      <c r="D44">
        <v>9896</v>
      </c>
      <c r="E44">
        <v>132718</v>
      </c>
      <c r="F44" t="s">
        <v>131</v>
      </c>
      <c r="G44" t="s">
        <v>132</v>
      </c>
      <c r="H44" t="s">
        <v>81</v>
      </c>
      <c r="I44" t="s">
        <v>82</v>
      </c>
    </row>
    <row r="45" spans="1:9" ht="15" customHeight="1" x14ac:dyDescent="0.3">
      <c r="A45">
        <v>79</v>
      </c>
      <c r="B45">
        <v>70</v>
      </c>
      <c r="C45">
        <v>365</v>
      </c>
      <c r="D45">
        <v>10074</v>
      </c>
      <c r="E45">
        <v>135889</v>
      </c>
      <c r="F45" t="s">
        <v>137</v>
      </c>
      <c r="G45" t="s">
        <v>138</v>
      </c>
      <c r="H45" t="s">
        <v>49</v>
      </c>
      <c r="I45" t="s">
        <v>38</v>
      </c>
    </row>
    <row r="46" spans="1:9" ht="15" customHeight="1" x14ac:dyDescent="0.3">
      <c r="A46">
        <v>44</v>
      </c>
      <c r="B46">
        <v>33</v>
      </c>
      <c r="C46">
        <v>365</v>
      </c>
      <c r="D46">
        <v>9403</v>
      </c>
      <c r="E46">
        <v>112836</v>
      </c>
      <c r="F46" t="s">
        <v>55</v>
      </c>
      <c r="G46" t="s">
        <v>43</v>
      </c>
      <c r="H46" t="s">
        <v>46</v>
      </c>
      <c r="I46" t="s">
        <v>43</v>
      </c>
    </row>
    <row r="47" spans="1:9" ht="15" customHeight="1" x14ac:dyDescent="0.3">
      <c r="A47">
        <v>21</v>
      </c>
      <c r="B47">
        <v>42</v>
      </c>
      <c r="C47">
        <v>365</v>
      </c>
      <c r="D47">
        <v>8871</v>
      </c>
      <c r="E47">
        <v>114581</v>
      </c>
      <c r="F47" t="s">
        <v>140</v>
      </c>
      <c r="G47" t="s">
        <v>40</v>
      </c>
      <c r="H47" t="s">
        <v>166</v>
      </c>
      <c r="I47" t="s">
        <v>43</v>
      </c>
    </row>
    <row r="48" spans="1:9" ht="15" customHeight="1" x14ac:dyDescent="0.3">
      <c r="A48">
        <v>50</v>
      </c>
      <c r="B48">
        <v>68</v>
      </c>
      <c r="C48">
        <v>365</v>
      </c>
      <c r="D48">
        <v>8893</v>
      </c>
      <c r="E48">
        <v>133395</v>
      </c>
      <c r="F48" t="s">
        <v>84</v>
      </c>
      <c r="G48" t="s">
        <v>38</v>
      </c>
      <c r="H48" t="s">
        <v>50</v>
      </c>
      <c r="I48" t="s">
        <v>38</v>
      </c>
    </row>
    <row r="49" spans="1:9" ht="15" customHeight="1" x14ac:dyDescent="0.3">
      <c r="A49">
        <v>49</v>
      </c>
      <c r="B49">
        <v>80</v>
      </c>
      <c r="C49">
        <v>365</v>
      </c>
      <c r="D49">
        <v>8946</v>
      </c>
      <c r="E49">
        <v>117288</v>
      </c>
      <c r="F49" t="s">
        <v>133</v>
      </c>
      <c r="G49" t="s">
        <v>43</v>
      </c>
      <c r="H49" t="s">
        <v>131</v>
      </c>
      <c r="I49" t="s">
        <v>132</v>
      </c>
    </row>
    <row r="50" spans="1:9" ht="15" customHeight="1" x14ac:dyDescent="0.3">
      <c r="A50">
        <v>36</v>
      </c>
      <c r="B50">
        <v>80</v>
      </c>
      <c r="C50">
        <v>365</v>
      </c>
      <c r="D50">
        <v>9660</v>
      </c>
      <c r="E50">
        <v>125855</v>
      </c>
      <c r="F50" t="s">
        <v>134</v>
      </c>
      <c r="G50" t="s">
        <v>43</v>
      </c>
      <c r="H50" t="s">
        <v>131</v>
      </c>
      <c r="I50" t="s">
        <v>132</v>
      </c>
    </row>
    <row r="51" spans="1:9" ht="15" customHeight="1" x14ac:dyDescent="0.3">
      <c r="A51">
        <v>72</v>
      </c>
      <c r="B51">
        <v>67</v>
      </c>
      <c r="C51">
        <v>365</v>
      </c>
      <c r="D51">
        <v>9647</v>
      </c>
      <c r="E51">
        <v>77176</v>
      </c>
      <c r="F51" t="s">
        <v>54</v>
      </c>
      <c r="G51" t="s">
        <v>38</v>
      </c>
      <c r="H51" t="s">
        <v>52</v>
      </c>
      <c r="I51" t="s">
        <v>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5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2" width="12" customWidth="1"/>
    <col min="3" max="3" width="13" customWidth="1"/>
    <col min="4" max="4" width="18" customWidth="1"/>
    <col min="5" max="5" width="19" customWidth="1"/>
    <col min="6" max="6" width="24" customWidth="1"/>
    <col min="7" max="7" width="21" customWidth="1"/>
    <col min="8" max="8" width="19" customWidth="1"/>
    <col min="9" max="9" width="18" customWidth="1"/>
    <col min="10" max="10" width="12" customWidth="1"/>
  </cols>
  <sheetData>
    <row r="1" spans="1:10" ht="15" customHeight="1" x14ac:dyDescent="0.3">
      <c r="A1" s="8" t="s">
        <v>224</v>
      </c>
      <c r="B1" s="8" t="s">
        <v>225</v>
      </c>
      <c r="C1" s="8" t="s">
        <v>110</v>
      </c>
      <c r="D1" s="8" t="s">
        <v>111</v>
      </c>
      <c r="E1" s="8" t="s">
        <v>112</v>
      </c>
      <c r="F1" s="8" t="s">
        <v>226</v>
      </c>
      <c r="G1" s="8" t="s">
        <v>227</v>
      </c>
      <c r="H1" s="8" t="s">
        <v>228</v>
      </c>
      <c r="I1" s="8" t="s">
        <v>113</v>
      </c>
      <c r="J1" s="8" t="s">
        <v>229</v>
      </c>
    </row>
    <row r="2" spans="1:10" ht="15" customHeight="1" x14ac:dyDescent="0.3">
      <c r="A2" t="s">
        <v>230</v>
      </c>
      <c r="B2">
        <v>18</v>
      </c>
      <c r="C2">
        <v>16917</v>
      </c>
      <c r="D2">
        <v>439779</v>
      </c>
      <c r="E2">
        <v>5440731</v>
      </c>
      <c r="F2">
        <v>24432.166666666701</v>
      </c>
      <c r="G2">
        <v>302262.83333333302</v>
      </c>
      <c r="H2">
        <v>939.83333333333303</v>
      </c>
      <c r="I2">
        <v>12.371511600144601</v>
      </c>
      <c r="J2" t="s">
        <v>65</v>
      </c>
    </row>
    <row r="3" spans="1:10" ht="15" customHeight="1" x14ac:dyDescent="0.3">
      <c r="A3" t="s">
        <v>231</v>
      </c>
      <c r="B3">
        <v>30</v>
      </c>
      <c r="C3">
        <v>76894</v>
      </c>
      <c r="D3">
        <v>1997889</v>
      </c>
      <c r="E3">
        <v>24702195</v>
      </c>
      <c r="F3">
        <v>66596.3</v>
      </c>
      <c r="G3">
        <v>823406.5</v>
      </c>
      <c r="H3">
        <v>2563.13333333333</v>
      </c>
      <c r="I3">
        <v>12.3641478580642</v>
      </c>
      <c r="J3" t="s">
        <v>64</v>
      </c>
    </row>
    <row r="4" spans="1:10" ht="15" customHeight="1" x14ac:dyDescent="0.3">
      <c r="A4" t="s">
        <v>232</v>
      </c>
      <c r="B4">
        <v>193</v>
      </c>
      <c r="C4">
        <v>496944</v>
      </c>
      <c r="D4">
        <v>12898024</v>
      </c>
      <c r="E4">
        <v>159567077</v>
      </c>
      <c r="F4">
        <v>66829.139896373104</v>
      </c>
      <c r="G4">
        <v>826772.41968911898</v>
      </c>
      <c r="H4">
        <v>2574.83937823834</v>
      </c>
      <c r="I4">
        <v>12.371435888163999</v>
      </c>
      <c r="J4" t="s">
        <v>63</v>
      </c>
    </row>
    <row r="5" spans="1:10" ht="15" customHeight="1" x14ac:dyDescent="0.3">
      <c r="A5" t="s">
        <v>233</v>
      </c>
      <c r="B5">
        <v>125</v>
      </c>
      <c r="C5">
        <v>271818</v>
      </c>
      <c r="D5">
        <v>7043160</v>
      </c>
      <c r="E5">
        <v>87183479</v>
      </c>
      <c r="F5">
        <v>56345.279999999999</v>
      </c>
      <c r="G5">
        <v>697467.83200000005</v>
      </c>
      <c r="H5">
        <v>2174.5439999999999</v>
      </c>
      <c r="I5">
        <v>12.3784606625435</v>
      </c>
      <c r="J5" t="s">
        <v>66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4"/>
  <sheetViews>
    <sheetView showGridLines="0"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4" customWidth="1"/>
    <col min="2" max="2" width="18" customWidth="1"/>
    <col min="3" max="3" width="13" customWidth="1"/>
    <col min="4" max="4" width="18" customWidth="1"/>
    <col min="5" max="5" width="19" customWidth="1"/>
    <col min="6" max="6" width="21" customWidth="1"/>
  </cols>
  <sheetData>
    <row r="1" spans="1:6" ht="15" customHeight="1" x14ac:dyDescent="0.3">
      <c r="A1" s="8" t="s">
        <v>234</v>
      </c>
      <c r="B1" s="8" t="s">
        <v>235</v>
      </c>
      <c r="C1" s="8" t="s">
        <v>110</v>
      </c>
      <c r="D1" s="8" t="s">
        <v>111</v>
      </c>
      <c r="E1" s="8" t="s">
        <v>236</v>
      </c>
      <c r="F1" s="8" t="s">
        <v>237</v>
      </c>
    </row>
    <row r="2" spans="1:6" ht="15" customHeight="1" x14ac:dyDescent="0.3">
      <c r="A2" t="s">
        <v>108</v>
      </c>
      <c r="B2">
        <v>11.647647974420201</v>
      </c>
      <c r="C2">
        <v>13433</v>
      </c>
      <c r="D2">
        <v>357909</v>
      </c>
      <c r="E2">
        <v>55631.837500000001</v>
      </c>
      <c r="F2">
        <v>26.644011017643098</v>
      </c>
    </row>
    <row r="3" spans="1:6" ht="15" customHeight="1" x14ac:dyDescent="0.3">
      <c r="A3" t="s">
        <v>97</v>
      </c>
      <c r="B3">
        <v>27.0593359817085</v>
      </c>
      <c r="C3">
        <v>236941</v>
      </c>
      <c r="D3">
        <v>6130407</v>
      </c>
      <c r="E3">
        <v>210091.18005540199</v>
      </c>
      <c r="F3">
        <v>25.873137194491498</v>
      </c>
    </row>
    <row r="4" spans="1:6" ht="15" customHeight="1" x14ac:dyDescent="0.3">
      <c r="A4" t="s">
        <v>107</v>
      </c>
      <c r="B4">
        <v>11.9719753270679</v>
      </c>
      <c r="C4">
        <v>20254</v>
      </c>
      <c r="D4">
        <v>518439</v>
      </c>
      <c r="E4">
        <v>72161.022471910095</v>
      </c>
      <c r="F4">
        <v>25.596869754122601</v>
      </c>
    </row>
    <row r="5" spans="1:6" ht="15" customHeight="1" x14ac:dyDescent="0.3">
      <c r="A5" t="s">
        <v>100</v>
      </c>
      <c r="B5">
        <v>12.247671059405199</v>
      </c>
      <c r="C5">
        <v>34498</v>
      </c>
      <c r="D5">
        <v>914579</v>
      </c>
      <c r="E5">
        <v>124131.802197802</v>
      </c>
      <c r="F5">
        <v>26.511073105687299</v>
      </c>
    </row>
    <row r="6" spans="1:6" ht="15" customHeight="1" x14ac:dyDescent="0.3">
      <c r="A6" t="s">
        <v>103</v>
      </c>
      <c r="B6">
        <v>27.538046998769399</v>
      </c>
      <c r="C6">
        <v>112160</v>
      </c>
      <c r="D6">
        <v>2868883</v>
      </c>
      <c r="E6">
        <v>103154.302325581</v>
      </c>
      <c r="F6">
        <v>25.578486091298199</v>
      </c>
    </row>
    <row r="7" spans="1:6" ht="15" customHeight="1" x14ac:dyDescent="0.3">
      <c r="A7" t="s">
        <v>98</v>
      </c>
      <c r="B7">
        <v>39.410912492942998</v>
      </c>
      <c r="C7">
        <v>40491</v>
      </c>
      <c r="D7">
        <v>1046005</v>
      </c>
      <c r="E7">
        <v>140864.80434782599</v>
      </c>
      <c r="F7">
        <v>25.833024622755701</v>
      </c>
    </row>
    <row r="8" spans="1:6" ht="15" customHeight="1" x14ac:dyDescent="0.3">
      <c r="A8" t="s">
        <v>104</v>
      </c>
      <c r="B8">
        <v>39.5410579608021</v>
      </c>
      <c r="C8">
        <v>26184</v>
      </c>
      <c r="D8">
        <v>668942</v>
      </c>
      <c r="E8">
        <v>91974.822222222196</v>
      </c>
      <c r="F8">
        <v>25.547739077299099</v>
      </c>
    </row>
    <row r="9" spans="1:6" ht="15" customHeight="1" x14ac:dyDescent="0.3">
      <c r="A9" t="s">
        <v>102</v>
      </c>
      <c r="B9">
        <v>22.7290504442783</v>
      </c>
      <c r="C9">
        <v>28365</v>
      </c>
      <c r="D9">
        <v>796710</v>
      </c>
      <c r="E9">
        <v>114574.15116279099</v>
      </c>
      <c r="F9">
        <v>28.087784241142302</v>
      </c>
    </row>
    <row r="10" spans="1:6" ht="15" customHeight="1" x14ac:dyDescent="0.3">
      <c r="A10" t="s">
        <v>99</v>
      </c>
      <c r="B10">
        <v>27.264694473514101</v>
      </c>
      <c r="C10">
        <v>141433</v>
      </c>
      <c r="D10">
        <v>3599369</v>
      </c>
      <c r="E10">
        <v>124363.187150838</v>
      </c>
      <c r="F10">
        <v>25.44928694152</v>
      </c>
    </row>
    <row r="11" spans="1:6" ht="15" customHeight="1" x14ac:dyDescent="0.3">
      <c r="A11" t="s">
        <v>105</v>
      </c>
      <c r="B11">
        <v>22.795248622657699</v>
      </c>
      <c r="C11">
        <v>23289</v>
      </c>
      <c r="D11">
        <v>650823</v>
      </c>
      <c r="E11">
        <v>90301.235955056196</v>
      </c>
      <c r="F11">
        <v>27.945510756150998</v>
      </c>
    </row>
    <row r="12" spans="1:6" ht="15" customHeight="1" x14ac:dyDescent="0.3">
      <c r="A12" t="s">
        <v>101</v>
      </c>
      <c r="B12">
        <v>22.7269211635519</v>
      </c>
      <c r="C12">
        <v>30617</v>
      </c>
      <c r="D12">
        <v>836105</v>
      </c>
      <c r="E12">
        <v>120059.604651163</v>
      </c>
      <c r="F12">
        <v>27.308521409674398</v>
      </c>
    </row>
    <row r="13" spans="1:6" ht="15" customHeight="1" x14ac:dyDescent="0.3">
      <c r="A13" t="s">
        <v>106</v>
      </c>
      <c r="B13">
        <v>26.976065955084199</v>
      </c>
      <c r="C13">
        <v>87345</v>
      </c>
      <c r="D13">
        <v>2215459</v>
      </c>
      <c r="E13">
        <v>85459.697819314606</v>
      </c>
      <c r="F13">
        <v>25.364462762608099</v>
      </c>
    </row>
    <row r="14" spans="1:6" ht="15" customHeight="1" x14ac:dyDescent="0.3">
      <c r="A14" t="s">
        <v>96</v>
      </c>
      <c r="B14">
        <v>39.386421931801998</v>
      </c>
      <c r="C14">
        <v>67563</v>
      </c>
      <c r="D14">
        <v>1775222</v>
      </c>
      <c r="E14">
        <v>239015.44565217401</v>
      </c>
      <c r="F14">
        <v>26.275061794177301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KPI Summary</vt:lpstr>
      <vt:lpstr>Seasonal &amp; Ramadan</vt:lpstr>
      <vt:lpstr>Time of Day</vt:lpstr>
      <vt:lpstr>Station Performance</vt:lpstr>
      <vt:lpstr>Weather Impact</vt:lpstr>
      <vt:lpstr>Raw_MonthlyKPIs</vt:lpstr>
      <vt:lpstr>Raw_StationTotals</vt:lpstr>
      <vt:lpstr>Raw_DelaySummary</vt:lpstr>
      <vt:lpstr>Raw_ODPairsTop</vt:lpstr>
      <vt:lpstr>Raw_SegmentByDayType</vt:lpstr>
      <vt:lpstr>Raw_WeatherImpact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Basmala Atef Darweesh</cp:lastModifiedBy>
  <cp:revision>2</cp:revision>
  <dcterms:created xsi:type="dcterms:W3CDTF">2026-06-26T23:40:02Z</dcterms:created>
  <dcterms:modified xsi:type="dcterms:W3CDTF">2026-06-28T11:33:37Z</dcterms:modified>
  <dc:language>en-US</dc:language>
</cp:coreProperties>
</file>